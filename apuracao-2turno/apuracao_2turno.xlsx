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ados" sheetId="3" state="visible" r:id="rId3"/>
    <sheet xmlns:r="http://schemas.openxmlformats.org/officeDocument/2006/relationships" name="Histórico" sheetId="4" state="visible" r:id="rId4"/>
    <sheet xmlns:r="http://schemas.openxmlformats.org/officeDocument/2006/relationships" name="Regras TSE" sheetId="5" state="visible" r:id="rId5"/>
    <sheet xmlns:r="http://schemas.openxmlformats.org/officeDocument/2006/relationships" name="Como usar" sheetId="6" state="visible" r:id="rId6"/>
  </sheets>
  <definedNames>
    <definedName name="URL_TSE">Config!$B$12</definedName>
    <definedName name="SIGMA">Config!$B$16</definedName>
    <definedName name="AJUSTE">Config!$B$17</definedName>
    <definedName name="COMPAREC_PAD">Config!$B$18</definedName>
    <definedName name="VALIDOS_PAD">Config!$B$19</definedName>
    <definedName name="P_CAND1">Painel!$Q$9</definedName>
    <definedName name="_xlnm.Print_Area" localSheetId="0">'Painel'!$A$1:$N$48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b val="1"/>
    </font>
    <font>
      <b val="1"/>
      <color rgb="001F4E79"/>
    </font>
    <font>
      <b val="1"/>
      <color rgb="001F4E79"/>
      <sz val="13"/>
    </font>
    <font>
      <b val="1"/>
      <color rgb="00C00000"/>
    </font>
    <font>
      <b val="1"/>
      <color rgb="00FFFFFF"/>
    </font>
    <font>
      <i val="1"/>
      <color rgb="007F7F7F"/>
    </font>
    <font>
      <color rgb="00595959"/>
      <sz val="9"/>
    </font>
    <font>
      <b val="1"/>
      <color rgb="00595959"/>
      <sz val="9"/>
    </font>
    <font>
      <b val="1"/>
      <color rgb="001F4E79"/>
      <sz val="16"/>
    </font>
    <font>
      <b val="1"/>
      <color rgb="00C00000"/>
      <sz val="13"/>
    </font>
    <font>
      <b val="1"/>
      <color rgb="002E75B6"/>
      <sz val="13"/>
    </font>
    <font>
      <color rgb="00BFBFBF"/>
      <sz val="8"/>
    </font>
    <font>
      <i val="1"/>
      <color rgb="007F7F7F"/>
      <sz val="9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8" fillId="0" borderId="0" pivotButton="0" quotePrefix="0" xfId="0"/>
    <xf numFmtId="0" fontId="9" fillId="4" borderId="0" applyAlignment="1" pivotButton="0" quotePrefix="0" xfId="0">
      <alignment horizontal="center" vertical="center" wrapText="1"/>
    </xf>
    <xf numFmtId="49" fontId="10" fillId="4" borderId="0" applyAlignment="1" pivotButton="0" quotePrefix="0" xfId="0">
      <alignment horizontal="center" vertical="center" wrapText="1"/>
    </xf>
    <xf numFmtId="10" fontId="10" fillId="4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2" borderId="0" pivotButton="0" quotePrefix="0" xfId="0"/>
    <xf numFmtId="0" fontId="11" fillId="0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10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0" fillId="0" borderId="1" pivotButton="0" quotePrefix="0" xfId="0"/>
    <xf numFmtId="3" fontId="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 wrapText="1"/>
    </xf>
    <xf numFmtId="10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4" borderId="0" pivotButton="0" quotePrefix="0" xfId="0"/>
    <xf numFmtId="0" fontId="4" fillId="0" borderId="0" pivotButton="0" quotePrefix="0" xfId="0"/>
    <xf numFmtId="164" fontId="0" fillId="3" borderId="1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3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vertical="top"/>
    </xf>
    <xf numFmtId="0" fontId="1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Probabilidade de vitória × apuração</a:t>
            </a:r>
          </a:p>
        </rich>
      </tx>
    </title>
    <plotArea>
      <scatterChart>
        <ser>
          <idx val="0"/>
          <order val="0"/>
          <tx>
            <v>Candidato 1</v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'Histórico'!$N$2:$N$1001</f>
            </numRef>
          </xVal>
          <yVal>
            <numRef>
              <f>'Histórico'!$T$2:$T$1001</f>
            </numRef>
          </yVal>
          <smooth val="0"/>
        </ser>
        <ser>
          <idx val="1"/>
          <order val="1"/>
          <tx>
            <v>Candidato 2</v>
          </tx>
          <spPr>
            <a:ln xmlns:a="http://schemas.openxmlformats.org/drawingml/2006/main" w="28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xVal>
            <numRef>
              <f>'Histórico'!$N$2:$N$1001</f>
            </numRef>
          </xVal>
          <yVal>
            <numRef>
              <f>'Histórico'!$U$2:$U$1001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de seções totalizadas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Probabilidade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dos votos válidos × apuração</a:t>
            </a:r>
          </a:p>
        </rich>
      </tx>
    </title>
    <plotArea>
      <scatterChart>
        <ser>
          <idx val="0"/>
          <order val="0"/>
          <tx>
            <v>Candidato 1</v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'Histórico'!$N$2:$N$1001</f>
            </numRef>
          </xVal>
          <yVal>
            <numRef>
              <f>'Histórico'!$P$2:$P$1001</f>
            </numRef>
          </yVal>
          <smooth val="0"/>
        </ser>
        <ser>
          <idx val="1"/>
          <order val="1"/>
          <tx>
            <v>Candidato 2</v>
          </tx>
          <spPr>
            <a:ln xmlns:a="http://schemas.openxmlformats.org/drawingml/2006/main" w="28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xVal>
            <numRef>
              <f>'Histórico'!$N$2:$N$1001</f>
            </numRef>
          </xVal>
          <yVal>
            <numRef>
              <f>'Histórico'!$Q$2:$Q$1001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de seções totalizadas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  <max val="0.65"/>
          <min val="0.3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válidos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Votos totalizados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cat>
            <numRef>
              <f>'Painel'!$B$9:$B$10</f>
            </numRef>
          </cat>
          <val>
            <numRef>
              <f>'Painel'!$E$9:$E$10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Seções: totalizadas × faltando</a:t>
            </a:r>
          </a:p>
        </rich>
      </tx>
    </title>
    <plotArea>
      <barChart>
        <barDir val="bar"/>
        <grouping val="percentStacked"/>
        <ser>
          <idx val="0"/>
          <order val="0"/>
          <tx>
            <v>Totalizadas</v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val>
            <numRef>
              <f>'Painel'!$Q$11</f>
            </numRef>
          </val>
        </ser>
        <ser>
          <idx val="1"/>
          <order val="1"/>
          <tx>
            <v>Faltando</v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prstDash val="solid"/>
            </a:ln>
          </spPr>
          <val>
            <numRef>
              <f>'Painel'!$Q$12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61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33</row>
      <rowOff>0</rowOff>
    </from>
    <ext cx="61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" t="inlineStr">
        <is>
          <t>Apuração 2º turno — acompanhamento ao vivo (TSE)</t>
        </is>
      </c>
    </row>
    <row r="2">
      <c r="A2" s="2">
        <f>"Cargo: "&amp;IFERROR(INDEX(Dados!$B$2:$B$40,MATCH("cargo",Dados!$A$2:$A$40,0)),0)&amp;"   ·   Abrangência: "&amp;UPPER(IFERROR(INDEX(Dados!$B$2:$B$40,MATCH("cdabr",Dados!$A$2:$A$40,0)),0))&amp;"   ·   Última totalização: "&amp;IFERROR(INDEX(Dados!$B$2:$B$40,MATCH("dt",Dados!$A$2:$A$40,0)),0)&amp;" "&amp;IFERROR(INDEX(Dados!$B$2:$B$40,MATCH("ht",Dados!$A$2:$A$40,0)),0)&amp;"   ·   Fonte: "&amp;Config!B12</f>
        <v/>
      </c>
    </row>
    <row r="4">
      <c r="A4" s="3" t="inlineStr">
        <is>
          <t>ANDAMENTO</t>
        </is>
      </c>
      <c r="C4" s="3" t="inlineStr">
        <is>
          <t>SEÇÕES TOTALIZADAS</t>
        </is>
      </c>
      <c r="E4" s="3" t="inlineStr">
        <is>
          <t>ELEITORADO APURADO</t>
        </is>
      </c>
      <c r="G4" s="3" t="inlineStr">
        <is>
          <t>COMPARECIMENTO</t>
        </is>
      </c>
      <c r="I4" s="3" t="inlineStr">
        <is>
          <t>BRANCOS</t>
        </is>
      </c>
      <c r="K4" s="3" t="inlineStr">
        <is>
          <t>NULOS</t>
        </is>
      </c>
      <c r="M4" s="3" t="inlineStr">
        <is>
          <t>MAT. DEFINIDO (TSE)</t>
        </is>
      </c>
    </row>
    <row r="5">
      <c r="A5" s="4">
        <f>IF(IFERROR(INDEX(Dados!$B$2:$B$40,MATCH("tf",Dados!$A$2:$A$40,0)),0)="s","Totalização final",IF(IFERROR(INDEX(Dados!$B$2:$B$40,MATCH("and",Dados!$A$2:$A$40,0)),0)="f","Finalizada",IF(IFERROR(INDEX(Dados!$B$2:$B$40,MATCH("and",Dados!$A$2:$A$40,0)),0)="p","Em andamento","Não iniciada")))</f>
        <v/>
      </c>
      <c r="C5" s="5">
        <f>IFERROR(IFERROR(INDEX(Dados!$B$2:$B$40,MATCH("st",Dados!$A$2:$A$40,0)),0)/IFERROR(INDEX(Dados!$B$2:$B$40,MATCH("ts",Dados!$A$2:$A$40,0)),0),0)</f>
        <v/>
      </c>
      <c r="E5" s="5">
        <f>IFERROR(IFERROR(INDEX(Dados!$B$2:$B$40,MATCH("est",Dados!$A$2:$A$40,0)),0)/IFERROR(INDEX(Dados!$B$2:$B$40,MATCH("te",Dados!$A$2:$A$40,0)),0),0)</f>
        <v/>
      </c>
      <c r="G5" s="5">
        <f>IFERROR(IFERROR(INDEX(Dados!$B$2:$B$40,MATCH("c",Dados!$A$2:$A$40,0)),0)/IFERROR(INDEX(Dados!$B$2:$B$40,MATCH("esi",Dados!$A$2:$A$40,0)),0),0)</f>
        <v/>
      </c>
      <c r="I5" s="5">
        <f>IFERROR(IFERROR(INDEX(Dados!$B$2:$B$40,MATCH("vb",Dados!$A$2:$A$40,0)),0)/IFERROR(INDEX(Dados!$B$2:$B$40,MATCH("tv",Dados!$A$2:$A$40,0)),0),0)</f>
        <v/>
      </c>
      <c r="K5" s="5">
        <f>IFERROR(IFERROR(INDEX(Dados!$B$2:$B$40,MATCH("tvn",Dados!$A$2:$A$40,0)),0)/IFERROR(INDEX(Dados!$B$2:$B$40,MATCH("tv",Dados!$A$2:$A$40,0)),0),0)</f>
        <v/>
      </c>
      <c r="M5" s="4">
        <f>IF(IFERROR(INDEX(Dados!$B$2:$B$40,MATCH("md",Dados!$A$2:$A$40,0)),0)="e","Eleito definido",IF(IFERROR(INDEX(Dados!$B$2:$B$40,MATCH("md",Dados!$A$2:$A$40,0)),0)="s","2º turno","Não"))</f>
        <v/>
      </c>
    </row>
    <row r="6"/>
    <row r="8">
      <c r="A8" s="6" t="inlineStr">
        <is>
          <t>Nº</t>
        </is>
      </c>
      <c r="B8" s="6" t="inlineStr">
        <is>
          <t>Candidato</t>
        </is>
      </c>
      <c r="D8" s="6" t="inlineStr">
        <is>
          <t>Partido</t>
        </is>
      </c>
      <c r="E8" s="6" t="inlineStr">
        <is>
          <t>Votos</t>
        </is>
      </c>
      <c r="G8" s="6" t="inlineStr">
        <is>
          <t>% válidos</t>
        </is>
      </c>
      <c r="H8" s="6" t="inlineStr">
        <is>
          <t>Prob. vitória</t>
        </is>
      </c>
      <c r="J8" s="6" t="inlineStr">
        <is>
          <t>Situação TSE</t>
        </is>
      </c>
      <c r="L8" s="7" t="inlineStr">
        <is>
          <t>Situação matemática</t>
        </is>
      </c>
    </row>
    <row r="9" ht="24" customHeight="1">
      <c r="A9" s="8">
        <f>Dados!E2</f>
        <v/>
      </c>
      <c r="B9" s="8">
        <f>Dados!F2</f>
        <v/>
      </c>
      <c r="D9" s="8">
        <f>Dados!G2</f>
        <v/>
      </c>
      <c r="E9" s="9">
        <f>Dados!H2</f>
        <v/>
      </c>
      <c r="G9" s="10">
        <f>IFERROR(E9/($E$9+$E$10),0)</f>
        <v/>
      </c>
      <c r="H9" s="11">
        <f>P_CAND1</f>
        <v/>
      </c>
      <c r="J9" s="8">
        <f>IF(Dados!J2&lt;&gt;"",Dados!J2,IF(Dados!I2="s","Eleito",IF(Dados!E2="","","Em apuração")))</f>
        <v/>
      </c>
      <c r="L9" s="12" t="inlineStr">
        <is>
          <t>Diferença (votos)</t>
        </is>
      </c>
      <c r="M9" s="13" t="n"/>
      <c r="N9" s="14">
        <f>ABS(E9-E10)</f>
        <v/>
      </c>
      <c r="P9" s="15" t="inlineStr">
        <is>
          <t>aux: prob. cand.1</t>
        </is>
      </c>
      <c r="Q9" s="15">
        <f>IF(OR(IFERROR(INDEX(Dados!$B$2:$B$40,MATCH("tf",Dados!$A$2:$A$40,0)),0)="s",IFERROR(INDEX(Dados!$B$2:$B$40,MATCH("md",Dados!$A$2:$A$40,0)),0)="e"),IF(Dados!I2="s",1,IF(Dados!I3="s",0,IF(E9&gt;E10,1,0))),IF(N10&lt;=0,IF(E9&gt;E10,1,IF(E9&lt;E10,0,0.5)),1-NORMDIST(0.5-(E9-E10)/(2*N10),IF(E9+E10&gt;0,E9/(E9+E10),0.5)+AJUSTE,SIGMA,TRUE)))</f>
        <v/>
      </c>
    </row>
    <row r="10" ht="24" customHeight="1">
      <c r="A10" s="16">
        <f>Dados!E3</f>
        <v/>
      </c>
      <c r="B10" s="16">
        <f>Dados!F3</f>
        <v/>
      </c>
      <c r="D10" s="16">
        <f>Dados!G3</f>
        <v/>
      </c>
      <c r="E10" s="17">
        <f>Dados!H3</f>
        <v/>
      </c>
      <c r="G10" s="18">
        <f>IFERROR(E10/($E$9+$E$10),0)</f>
        <v/>
      </c>
      <c r="H10" s="19">
        <f>1-P_CAND1</f>
        <v/>
      </c>
      <c r="J10" s="16">
        <f>IF(Dados!J3&lt;&gt;"",Dados!J3,IF(Dados!I3="s","Eleito",IF(Dados!E3="","","Em apuração")))</f>
        <v/>
      </c>
      <c r="L10" s="12" t="inlineStr">
        <is>
          <t>Válidos restantes (estim.)</t>
        </is>
      </c>
      <c r="M10" s="13" t="n"/>
      <c r="N10" s="14">
        <f>MAX(0,IFERROR(INDEX(Dados!$B$2:$B$40,MATCH("te",Dados!$A$2:$A$40,0)),0)-IFERROR(INDEX(Dados!$B$2:$B$40,MATCH("est",Dados!$A$2:$A$40,0)),0))*IF(IFERROR(INDEX(Dados!$B$2:$B$40,MATCH("esi",Dados!$A$2:$A$40,0)),0)&gt;0,IFERROR(INDEX(Dados!$B$2:$B$40,MATCH("c",Dados!$A$2:$A$40,0)),0)/IFERROR(INDEX(Dados!$B$2:$B$40,MATCH("esi",Dados!$A$2:$A$40,0)),0),COMPAREC_PAD)*IF(IFERROR(INDEX(Dados!$B$2:$B$40,MATCH("tv",Dados!$A$2:$A$40,0)),0)&gt;0,IFERROR(INDEX(Dados!$B$2:$B$40,MATCH("vv",Dados!$A$2:$A$40,0)),0)/IFERROR(INDEX(Dados!$B$2:$B$40,MATCH("tv",Dados!$A$2:$A$40,0)),0),VALIDOS_PAD)</f>
        <v/>
      </c>
    </row>
    <row r="11">
      <c r="L11" s="12" t="inlineStr">
        <is>
          <t>2º colocado precisa dos restantes</t>
        </is>
      </c>
      <c r="M11" s="13" t="n"/>
      <c r="N11" s="20">
        <f>IF(N10&gt;0,0.5+N9/(2*N10),IF(N9&gt;0,"Impossível",0.5))</f>
        <v/>
      </c>
      <c r="P11" s="15" t="inlineStr">
        <is>
          <t>Totalizadas</t>
        </is>
      </c>
      <c r="Q11" s="15">
        <f>IFERROR(INDEX(Dados!$B$2:$B$40,MATCH("st",Dados!$A$2:$A$40,0)),0)</f>
        <v/>
      </c>
    </row>
    <row r="12">
      <c r="L12" s="12" t="inlineStr">
        <is>
          <t>Leitura</t>
        </is>
      </c>
      <c r="M12" s="13" t="n"/>
      <c r="N12" s="21">
        <f>IF(OR(IFERROR(INDEX(Dados!$B$2:$B$40,MATCH("tf",Dados!$A$2:$A$40,0)),0)="s",IFERROR(INDEX(Dados!$B$2:$B$40,MATCH("md",Dados!$A$2:$A$40,0)),0)="e"),"Definido pelo TSE",IF(N11&gt;1,"Virada impossível",IF(N11&gt;0.6,"Virada muito difícil",IF(N11&gt;0.53,"Virada difícil","Disputa aberta"))))</f>
        <v/>
      </c>
      <c r="P12" s="15" t="inlineStr">
        <is>
          <t>Faltando</t>
        </is>
      </c>
      <c r="Q12" s="15">
        <f>MAX(0,IFERROR(INDEX(Dados!$B$2:$B$40,MATCH("ts",Dados!$A$2:$A$40,0)),0)-IFERROR(INDEX(Dados!$B$2:$B$40,MATCH("st",Dados!$A$2:$A$40,0)),0))</f>
        <v/>
      </c>
    </row>
    <row r="13" ht="28" customHeight="1">
      <c r="A13" s="22" t="inlineStr">
        <is>
          <t>Probabilidade = chance de cada candidato terminar à frente, supondo que a fatia dele nas urnas ainda não apuradas siga a fatia atual ± a incerteza definida em Config (distribuição normal). É estimativa, não resultado oficial.</t>
        </is>
      </c>
    </row>
  </sheetData>
  <mergeCells count="34">
    <mergeCell ref="H10:I10"/>
    <mergeCell ref="J10:K10"/>
    <mergeCell ref="A5:B6"/>
    <mergeCell ref="G5:H6"/>
    <mergeCell ref="L8:N8"/>
    <mergeCell ref="I5:J6"/>
    <mergeCell ref="E8:F8"/>
    <mergeCell ref="H9:I9"/>
    <mergeCell ref="A1:N1"/>
    <mergeCell ref="C4:D4"/>
    <mergeCell ref="J9:K9"/>
    <mergeCell ref="E4:F4"/>
    <mergeCell ref="L12:M12"/>
    <mergeCell ref="E10:F10"/>
    <mergeCell ref="B8:C8"/>
    <mergeCell ref="E9:F9"/>
    <mergeCell ref="A13:N13"/>
    <mergeCell ref="A2:N2"/>
    <mergeCell ref="B10:C10"/>
    <mergeCell ref="L10:M10"/>
    <mergeCell ref="C5:D6"/>
    <mergeCell ref="E5:F6"/>
    <mergeCell ref="K5:L6"/>
    <mergeCell ref="M5:N6"/>
    <mergeCell ref="B9:C9"/>
    <mergeCell ref="L9:M9"/>
    <mergeCell ref="A4:B4"/>
    <mergeCell ref="G4:H4"/>
    <mergeCell ref="I4:J4"/>
    <mergeCell ref="L11:M11"/>
    <mergeCell ref="H8:I8"/>
    <mergeCell ref="K4:L4"/>
    <mergeCell ref="J8:K8"/>
    <mergeCell ref="M4:N4"/>
  </mergeCells>
  <conditionalFormatting sqref="H9:I10">
    <cfRule type="cellIs" priority="1" operator="greaterThanOrEqual" dxfId="0">
      <formula>0.95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  <col width="60" customWidth="1" min="3" max="3"/>
  </cols>
  <sheetData>
    <row r="1" ht="32" customHeight="1">
      <c r="A1" s="1" t="inlineStr">
        <is>
          <t>Configuração da conexão com o TSE</t>
        </is>
      </c>
    </row>
    <row r="3">
      <c r="A3" s="23" t="inlineStr">
        <is>
          <t>Endereço base (oficial)</t>
        </is>
      </c>
      <c r="B3" s="24" t="inlineStr">
        <is>
          <t>https://resultados.tse.jus.br/oficial</t>
        </is>
      </c>
      <c r="C3" s="25" t="inlineStr">
        <is>
          <t>Simulado do TSE: https://resultados-sim.tse.jus.br/simulado/simulado2026</t>
        </is>
      </c>
    </row>
    <row r="4">
      <c r="A4" s="23" t="inlineStr">
        <is>
          <t>Pasta do pleito</t>
        </is>
      </c>
      <c r="B4" s="24" t="inlineStr">
        <is>
          <t>ele2026</t>
        </is>
      </c>
      <c r="C4" s="25" t="inlineStr"/>
    </row>
    <row r="5">
      <c r="A5" s="23" t="inlineStr">
        <is>
          <t>Código da eleição (2º turno 2026)</t>
        </is>
      </c>
      <c r="B5" s="24" t="n">
        <v>6258</v>
      </c>
      <c r="C5" s="25" t="inlineStr">
        <is>
          <t>1º turno = 6257 · 2º turno = 6258 (código usado no nome do arquivo com 6 dígitos)</t>
        </is>
      </c>
    </row>
    <row r="6">
      <c r="A6" s="23" t="inlineStr">
        <is>
          <t>Abrangência (br ou sigla da UF)</t>
        </is>
      </c>
      <c r="B6" s="24" t="inlineStr">
        <is>
          <t>br</t>
        </is>
      </c>
      <c r="C6" s="25" t="inlineStr">
        <is>
          <t>br = Brasil (Presidente). Para Governador use a UF, ex.: sp</t>
        </is>
      </c>
    </row>
    <row r="7">
      <c r="A7" s="23" t="inlineStr">
        <is>
          <t>Código do cargo</t>
        </is>
      </c>
      <c r="B7" s="24" t="n">
        <v>1</v>
      </c>
      <c r="C7" s="25" t="inlineStr">
        <is>
          <t>1 = Presidente · 3 = Governador</t>
        </is>
      </c>
    </row>
    <row r="8">
      <c r="A8" s="23" t="inlineStr">
        <is>
          <t>URL manual (opcional — tem prioridade)</t>
        </is>
      </c>
      <c r="B8" s="24" t="n"/>
      <c r="C8" s="25" t="inlineStr">
        <is>
          <t>Cole aqui a URL exata se o TSE publicar em outro caminho</t>
        </is>
      </c>
    </row>
    <row r="10">
      <c r="A10" s="23" t="inlineStr">
        <is>
          <t>Formato do nome (spec. EA20)</t>
        </is>
      </c>
      <c r="B10" t="inlineStr">
        <is>
          <t>&lt;abrangência&gt;-c&lt;cargo 4 díg.&gt;-e&lt;eleição 6 díg.&gt;-u.json   ex.: br-c0001-e006258-u.json</t>
        </is>
      </c>
    </row>
    <row r="12">
      <c r="A12" s="26" t="inlineStr">
        <is>
          <t>URL usada na conexão</t>
        </is>
      </c>
      <c r="B12" s="27">
        <f>IF(B8&lt;&gt;"",B8,B3&amp;"/"&amp;B4&amp;"/"&amp;B5&amp;"/dados/"&amp;LOWER(B6)&amp;"/"&amp;LOWER(B6)&amp;"-c"&amp;TEXT(B7,"0000")&amp;"-e"&amp;TEXT(B5,"000000")&amp;"-u.json")</f>
        <v/>
      </c>
      <c r="C12" t="inlineStr">
        <is>
          <t>Nome definido URL_TSE (lido pelo Power Query / Apps Script)</t>
        </is>
      </c>
    </row>
    <row r="15">
      <c r="A15" s="28" t="inlineStr">
        <is>
          <t>Parâmetros do modelo de probabilidade</t>
        </is>
      </c>
    </row>
    <row r="16" ht="45" customHeight="1">
      <c r="A16" s="23" t="inlineStr">
        <is>
          <t>Incerteza dos votos restantes (desvio-padrão)</t>
        </is>
      </c>
      <c r="B16" s="29" t="n">
        <v>0.06</v>
      </c>
      <c r="C16" s="25" t="inlineStr">
        <is>
          <t>Quanto a fatia do candidato nas urnas que faltam pode diferir da fatia atual. Regiões apuram em ritmos diferentes (ex.: 2022, virada no fim). 4%–8% é razoável.</t>
        </is>
      </c>
    </row>
    <row r="17" ht="45" customHeight="1">
      <c r="A17" s="23" t="inlineStr">
        <is>
          <t>Ajuste de tendência p/ candidato 1 (p.p.)</t>
        </is>
      </c>
      <c r="B17" s="29" t="n">
        <v>0</v>
      </c>
      <c r="C17" s="25" t="inlineStr">
        <is>
          <t>Ex.: +0,02 se você espera que as urnas restantes favoreçam o cand. 1 em 2 p.p.</t>
        </is>
      </c>
    </row>
    <row r="18" ht="45" customHeight="1">
      <c r="A18" s="23" t="inlineStr">
        <is>
          <t>Comparecimento padrão (antes dos 1ºs dados)</t>
        </is>
      </c>
      <c r="B18" s="29" t="n">
        <v>0.79</v>
      </c>
      <c r="C18" s="25" t="inlineStr">
        <is>
          <t>Usado só enquanto não há seções totalizadas</t>
        </is>
      </c>
    </row>
    <row r="19" ht="45" customHeight="1">
      <c r="A19" s="23" t="inlineStr">
        <is>
          <t>Fração de votos válidos padrão</t>
        </is>
      </c>
      <c r="B19" s="29" t="n">
        <v>0.95</v>
      </c>
      <c r="C19" s="25" t="inlineStr">
        <is>
          <t>Usado só enquanto não há votos totalizados</t>
        </is>
      </c>
    </row>
    <row r="22" ht="48" customHeight="1">
      <c r="A22" s="30" t="inlineStr">
        <is>
          <t>Atenção</t>
        </is>
      </c>
      <c r="B22" s="25" t="inlineStr">
        <is>
          <t>A planilha vem com DADOS DE DEMONSTRAÇÃO (candidatos fictícios). Antes de conectar, siga a aba 'Como usar'. A probabilidade é uma estimativa estatística — o resultado oficial é sempre o do TSE.</t>
        </is>
      </c>
    </row>
  </sheetData>
  <mergeCells count="1">
    <mergeCell ref="A1:C1"/>
  </mergeCells>
  <dataValidations count="1">
    <dataValidation sqref="B7" showDropDown="0" showInputMessage="0" showErrorMessage="0" allowBlank="0" type="list">
      <formula1>"1,3"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3" customWidth="1" min="4" max="4"/>
    <col width="9" customWidth="1" min="5" max="5"/>
    <col width="26" customWidth="1" min="6" max="6"/>
    <col width="12" customWidth="1" min="7" max="7"/>
    <col width="14" customWidth="1" min="8" max="8"/>
    <col width="8" customWidth="1" min="9" max="9"/>
    <col width="12" customWidth="1" min="10" max="10"/>
    <col width="6" customWidth="1" min="11" max="11"/>
  </cols>
  <sheetData>
    <row r="1">
      <c r="A1" s="7" t="inlineStr">
        <is>
          <t>Campo</t>
        </is>
      </c>
      <c r="B1" s="7" t="inlineStr">
        <is>
          <t>Valor</t>
        </is>
      </c>
      <c r="C1" s="23" t="inlineStr">
        <is>
          <t>Descrição (spec. EA20)</t>
        </is>
      </c>
      <c r="E1" s="7" t="inlineStr">
        <is>
          <t>Numero</t>
        </is>
      </c>
      <c r="F1" s="7" t="inlineStr">
        <is>
          <t>Nome</t>
        </is>
      </c>
      <c r="G1" s="7" t="inlineStr">
        <is>
          <t>Partido</t>
        </is>
      </c>
      <c r="H1" s="7" t="inlineStr">
        <is>
          <t>Votos</t>
        </is>
      </c>
      <c r="I1" s="7" t="inlineStr">
        <is>
          <t>Eleito</t>
        </is>
      </c>
      <c r="J1" s="7" t="inlineStr">
        <is>
          <t>Situacao</t>
        </is>
      </c>
      <c r="K1" s="7" t="inlineStr">
        <is>
          <t>Seq</t>
        </is>
      </c>
    </row>
    <row r="2">
      <c r="A2" t="inlineStr">
        <is>
          <t>ele</t>
        </is>
      </c>
      <c r="B2" t="inlineStr">
        <is>
          <t>6258</t>
        </is>
      </c>
      <c r="C2" s="31" t="inlineStr">
        <is>
          <t>Código da eleição</t>
        </is>
      </c>
      <c r="E2" t="n">
        <v>11</v>
      </c>
      <c r="F2" t="inlineStr">
        <is>
          <t>CANDIDATO A (DEMO)</t>
        </is>
      </c>
      <c r="G2" t="inlineStr">
        <is>
          <t>PART-A</t>
        </is>
      </c>
      <c r="H2" t="n">
        <v>54862312</v>
      </c>
      <c r="I2" t="inlineStr">
        <is>
          <t>n</t>
        </is>
      </c>
      <c r="J2" t="inlineStr"/>
      <c r="K2" t="n">
        <v>2</v>
      </c>
    </row>
    <row r="3">
      <c r="A3" t="inlineStr">
        <is>
          <t>t</t>
        </is>
      </c>
      <c r="B3" t="inlineStr">
        <is>
          <t>2</t>
        </is>
      </c>
      <c r="C3" s="31" t="inlineStr">
        <is>
          <t>Turno</t>
        </is>
      </c>
      <c r="E3" t="n">
        <v>22</v>
      </c>
      <c r="F3" t="inlineStr">
        <is>
          <t>CANDIDATO B (DEMO)</t>
        </is>
      </c>
      <c r="G3" t="inlineStr">
        <is>
          <t>PART-B</t>
        </is>
      </c>
      <c r="H3" t="n">
        <v>55925781</v>
      </c>
      <c r="I3" t="inlineStr">
        <is>
          <t>n</t>
        </is>
      </c>
      <c r="J3" t="inlineStr"/>
      <c r="K3" t="n">
        <v>1</v>
      </c>
    </row>
    <row r="4">
      <c r="A4" t="inlineStr">
        <is>
          <t>tpabr</t>
        </is>
      </c>
      <c r="B4" t="inlineStr">
        <is>
          <t>br</t>
        </is>
      </c>
      <c r="C4" s="31" t="inlineStr">
        <is>
          <t>Tipo de abrangência</t>
        </is>
      </c>
    </row>
    <row r="5">
      <c r="A5" t="inlineStr">
        <is>
          <t>cdabr</t>
        </is>
      </c>
      <c r="B5" t="inlineStr">
        <is>
          <t>br</t>
        </is>
      </c>
      <c r="C5" s="31" t="inlineStr">
        <is>
          <t>Código da abrangência</t>
        </is>
      </c>
    </row>
    <row r="6">
      <c r="A6" t="inlineStr">
        <is>
          <t>cargo</t>
        </is>
      </c>
      <c r="B6" t="inlineStr">
        <is>
          <t>Presidente</t>
        </is>
      </c>
      <c r="C6" s="31" t="inlineStr">
        <is>
          <t>Cargo</t>
        </is>
      </c>
    </row>
    <row r="7">
      <c r="A7" t="inlineStr">
        <is>
          <t>dt</t>
        </is>
      </c>
      <c r="B7" t="inlineStr">
        <is>
          <t>25/10/2026</t>
        </is>
      </c>
      <c r="C7" s="31" t="inlineStr">
        <is>
          <t>Data da totalização</t>
        </is>
      </c>
    </row>
    <row r="8">
      <c r="A8" t="inlineStr">
        <is>
          <t>ht</t>
        </is>
      </c>
      <c r="B8" t="inlineStr">
        <is>
          <t>19:29:00</t>
        </is>
      </c>
      <c r="C8" s="31" t="inlineStr">
        <is>
          <t>Hora da totalização</t>
        </is>
      </c>
    </row>
    <row r="9">
      <c r="A9" t="inlineStr">
        <is>
          <t>and</t>
        </is>
      </c>
      <c r="B9" t="inlineStr">
        <is>
          <t>p</t>
        </is>
      </c>
      <c r="C9" s="31" t="inlineStr">
        <is>
          <t>Andamento (n/p/f)</t>
        </is>
      </c>
    </row>
    <row r="10">
      <c r="A10" t="inlineStr">
        <is>
          <t>md</t>
        </is>
      </c>
      <c r="B10" t="inlineStr">
        <is>
          <t>n</t>
        </is>
      </c>
      <c r="C10" s="31" t="inlineStr">
        <is>
          <t>Matematicamente definido (e/s/n)</t>
        </is>
      </c>
    </row>
    <row r="11">
      <c r="A11" t="inlineStr">
        <is>
          <t>tf</t>
        </is>
      </c>
      <c r="B11" t="inlineStr">
        <is>
          <t>n</t>
        </is>
      </c>
      <c r="C11" s="31" t="inlineStr">
        <is>
          <t>Totalização final (s/n)</t>
        </is>
      </c>
    </row>
    <row r="12">
      <c r="A12" t="inlineStr">
        <is>
          <t>dv</t>
        </is>
      </c>
      <c r="B12" t="inlineStr">
        <is>
          <t>s</t>
        </is>
      </c>
      <c r="C12" s="31" t="inlineStr">
        <is>
          <t>Divulga votação (s/n)</t>
        </is>
      </c>
    </row>
    <row r="13">
      <c r="A13" t="inlineStr">
        <is>
          <t>ts</t>
        </is>
      </c>
      <c r="B13" t="n">
        <v>472075</v>
      </c>
      <c r="C13" s="31" t="inlineStr">
        <is>
          <t>Seções</t>
        </is>
      </c>
    </row>
    <row r="14">
      <c r="A14" t="inlineStr">
        <is>
          <t>st</t>
        </is>
      </c>
      <c r="B14" t="n">
        <v>443750</v>
      </c>
      <c r="C14" s="31" t="inlineStr">
        <is>
          <t>Seções totalizadas</t>
        </is>
      </c>
    </row>
    <row r="15">
      <c r="A15" t="inlineStr">
        <is>
          <t>te</t>
        </is>
      </c>
      <c r="B15" t="n">
        <v>156454011</v>
      </c>
      <c r="C15" s="31" t="inlineStr">
        <is>
          <t>Eleitorado</t>
        </is>
      </c>
    </row>
    <row r="16">
      <c r="A16" t="inlineStr">
        <is>
          <t>est</t>
        </is>
      </c>
      <c r="B16" t="n">
        <v>147066770</v>
      </c>
      <c r="C16" s="31" t="inlineStr">
        <is>
          <t>Eleitorado em seções totalizadas</t>
        </is>
      </c>
    </row>
    <row r="17">
      <c r="A17" t="inlineStr">
        <is>
          <t>esi</t>
        </is>
      </c>
      <c r="B17" t="n">
        <v>146846170</v>
      </c>
      <c r="C17" s="31" t="inlineStr">
        <is>
          <t>Eleitorado em seções instaladas</t>
        </is>
      </c>
    </row>
    <row r="18">
      <c r="A18" t="inlineStr">
        <is>
          <t>c</t>
        </is>
      </c>
      <c r="B18" t="n">
        <v>116008474</v>
      </c>
      <c r="C18" s="31" t="inlineStr">
        <is>
          <t>Comparecimento</t>
        </is>
      </c>
    </row>
    <row r="19">
      <c r="A19" t="inlineStr">
        <is>
          <t>a</t>
        </is>
      </c>
      <c r="B19" t="n">
        <v>30837696</v>
      </c>
      <c r="C19" s="31" t="inlineStr">
        <is>
          <t>Abstenção</t>
        </is>
      </c>
    </row>
    <row r="20">
      <c r="A20" t="inlineStr">
        <is>
          <t>tv</t>
        </is>
      </c>
      <c r="B20" t="n">
        <v>116008474</v>
      </c>
      <c r="C20" s="31" t="inlineStr">
        <is>
          <t>Total de votos</t>
        </is>
      </c>
    </row>
    <row r="21">
      <c r="A21" t="inlineStr">
        <is>
          <t>vv</t>
        </is>
      </c>
      <c r="B21" t="n">
        <v>110788093</v>
      </c>
      <c r="C21" s="31" t="inlineStr">
        <is>
          <t>Votos válidos</t>
        </is>
      </c>
    </row>
    <row r="22">
      <c r="A22" t="inlineStr">
        <is>
          <t>vb</t>
        </is>
      </c>
      <c r="B22" t="n">
        <v>1827133</v>
      </c>
      <c r="C22" s="31" t="inlineStr">
        <is>
          <t>Votos brancos</t>
        </is>
      </c>
    </row>
    <row r="23">
      <c r="A23" t="inlineStr">
        <is>
          <t>tvn</t>
        </is>
      </c>
      <c r="B23" t="n">
        <v>3393248</v>
      </c>
      <c r="C23" s="31" t="inlineStr">
        <is>
          <t>Total de votos nulos</t>
        </is>
      </c>
    </row>
    <row r="24">
      <c r="A24" t="inlineStr">
        <is>
          <t>van</t>
        </is>
      </c>
      <c r="B24" t="n">
        <v>0</v>
      </c>
      <c r="C24" s="31" t="inlineStr">
        <is>
          <t>Votos anulados</t>
        </is>
      </c>
    </row>
    <row r="25">
      <c r="A25" t="inlineStr">
        <is>
          <t>vansj</t>
        </is>
      </c>
      <c r="B25" t="n">
        <v>0</v>
      </c>
      <c r="C25" s="31" t="inlineStr">
        <is>
          <t>Anulados sub judice</t>
        </is>
      </c>
    </row>
    <row r="30">
      <c r="E30" s="31" t="inlineStr">
        <is>
          <t>Esta aba é preenchida automaticamente (Power Query em A1 e E1, ou Apps Script). Não digite aqui.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32" customHeight="1">
      <c r="A1" s="7" t="inlineStr">
        <is>
          <t>Data</t>
        </is>
      </c>
      <c r="B1" s="7" t="inlineStr">
        <is>
          <t>Hora</t>
        </is>
      </c>
      <c r="C1" s="7" t="inlineStr">
        <is>
          <t>Secoes</t>
        </is>
      </c>
      <c r="D1" s="7" t="inlineStr">
        <is>
          <t>SecoesTot</t>
        </is>
      </c>
      <c r="E1" s="7" t="inlineStr">
        <is>
          <t>Eleitorado</t>
        </is>
      </c>
      <c r="F1" s="7" t="inlineStr">
        <is>
          <t>EleitTot</t>
        </is>
      </c>
      <c r="G1" s="7" t="inlineStr">
        <is>
          <t>EleitInst</t>
        </is>
      </c>
      <c r="H1" s="7" t="inlineStr">
        <is>
          <t>Comparec</t>
        </is>
      </c>
      <c r="I1" s="7" t="inlineStr">
        <is>
          <t>VotosTotais</t>
        </is>
      </c>
      <c r="J1" s="7" t="inlineStr">
        <is>
          <t>VotosValidos</t>
        </is>
      </c>
      <c r="K1" s="7" t="inlineStr">
        <is>
          <t>VotosCand1</t>
        </is>
      </c>
      <c r="L1" s="7" t="inlineStr">
        <is>
          <t>VotosCand2</t>
        </is>
      </c>
      <c r="N1" s="32" t="inlineStr">
        <is>
          <t>% seções</t>
        </is>
      </c>
      <c r="O1" s="32" t="inlineStr">
        <is>
          <t>% eleitorado</t>
        </is>
      </c>
      <c r="P1" s="32" t="inlineStr">
        <is>
          <t>% válidos cand.1</t>
        </is>
      </c>
      <c r="Q1" s="32" t="inlineStr">
        <is>
          <t>% válidos cand.2</t>
        </is>
      </c>
      <c r="R1" s="32" t="inlineStr">
        <is>
          <t>Válidos restantes (estim.)</t>
        </is>
      </c>
      <c r="S1" s="32" t="inlineStr">
        <is>
          <t>Fatia que o cand.1 precisa</t>
        </is>
      </c>
      <c r="T1" s="32" t="inlineStr">
        <is>
          <t>Prob. cand.1</t>
        </is>
      </c>
      <c r="U1" s="32" t="inlineStr">
        <is>
          <t>Prob. cand.2</t>
        </is>
      </c>
    </row>
    <row r="2">
      <c r="A2" t="inlineStr">
        <is>
          <t>25/10/2026</t>
        </is>
      </c>
      <c r="B2" t="inlineStr">
        <is>
          <t>17:05:00</t>
        </is>
      </c>
      <c r="C2" s="33" t="n">
        <v>472075</v>
      </c>
      <c r="D2" s="33" t="n">
        <v>1888</v>
      </c>
      <c r="E2" s="33" t="n">
        <v>156454011</v>
      </c>
      <c r="F2" s="33" t="n">
        <v>625816</v>
      </c>
      <c r="G2" s="33" t="n">
        <v>624877</v>
      </c>
      <c r="H2" s="33" t="n">
        <v>493653</v>
      </c>
      <c r="I2" s="33" t="n">
        <v>493653</v>
      </c>
      <c r="J2" s="33" t="n">
        <v>471439</v>
      </c>
      <c r="K2" s="33" t="n">
        <v>252199</v>
      </c>
      <c r="L2" s="33" t="n">
        <v>219240</v>
      </c>
      <c r="N2" s="34">
        <f>IF($A2="",NA(),IF(C2&gt;0,D2/C2,0))</f>
        <v/>
      </c>
      <c r="O2" s="34">
        <f>IF($A2="",NA(),IF(E2&gt;0,F2/E2,0))</f>
        <v/>
      </c>
      <c r="P2" s="34">
        <f>IF($A2="",NA(),IF(K2+L2&gt;0,K2/(K2+L2),0.5))</f>
        <v/>
      </c>
      <c r="Q2" s="34">
        <f>IF($A2="",NA(),1-P2)</f>
        <v/>
      </c>
      <c r="R2" s="33">
        <f>IF($A2="",NA(),MAX(0,E2-F2)*IF(G2&gt;0,H2/G2,COMPAREC_PAD)*IF(I2&gt;0,J2/I2,VALIDOS_PAD))</f>
        <v/>
      </c>
      <c r="S2" s="34">
        <f>IF($A2="",NA(),IF(R2&gt;0,0.5-(K2-L2)/(2*R2),0))</f>
        <v/>
      </c>
      <c r="T2" s="34">
        <f>IF($A2="",NA(),IF(R2&lt;=0,IF(K2&gt;L2,1,IF(K2&lt;L2,0,0.5)),1-NORMDIST(S2,P2+AJUSTE,SIGMA,TRUE)))</f>
        <v/>
      </c>
      <c r="U2" s="34">
        <f>IF($A2="",NA(),1-T2)</f>
        <v/>
      </c>
    </row>
    <row r="3">
      <c r="A3" t="inlineStr">
        <is>
          <t>25/10/2026</t>
        </is>
      </c>
      <c r="B3" t="inlineStr">
        <is>
          <t>17:11:00</t>
        </is>
      </c>
      <c r="C3" s="33" t="n">
        <v>472075</v>
      </c>
      <c r="D3" s="33" t="n">
        <v>4721</v>
      </c>
      <c r="E3" s="33" t="n">
        <v>156454011</v>
      </c>
      <c r="F3" s="33" t="n">
        <v>1564540</v>
      </c>
      <c r="G3" s="33" t="n">
        <v>1562193</v>
      </c>
      <c r="H3" s="33" t="n">
        <v>1234132</v>
      </c>
      <c r="I3" s="33" t="n">
        <v>1234132</v>
      </c>
      <c r="J3" s="33" t="n">
        <v>1178596</v>
      </c>
      <c r="K3" s="33" t="n">
        <v>630389</v>
      </c>
      <c r="L3" s="33" t="n">
        <v>548207</v>
      </c>
      <c r="N3" s="34">
        <f>IF($A3="",NA(),IF(C3&gt;0,D3/C3,0))</f>
        <v/>
      </c>
      <c r="O3" s="34">
        <f>IF($A3="",NA(),IF(E3&gt;0,F3/E3,0))</f>
        <v/>
      </c>
      <c r="P3" s="34">
        <f>IF($A3="",NA(),IF(K3+L3&gt;0,K3/(K3+L3),0.5))</f>
        <v/>
      </c>
      <c r="Q3" s="34">
        <f>IF($A3="",NA(),1-P3)</f>
        <v/>
      </c>
      <c r="R3" s="33">
        <f>IF($A3="",NA(),MAX(0,E3-F3)*IF(G3&gt;0,H3/G3,COMPAREC_PAD)*IF(I3&gt;0,J3/I3,VALIDOS_PAD))</f>
        <v/>
      </c>
      <c r="S3" s="34">
        <f>IF($A3="",NA(),IF(R3&gt;0,0.5-(K3-L3)/(2*R3),0))</f>
        <v/>
      </c>
      <c r="T3" s="34">
        <f>IF($A3="",NA(),IF(R3&lt;=0,IF(K3&gt;L3,1,IF(K3&lt;L3,0,0.5)),1-NORMDIST(S3,P3+AJUSTE,SIGMA,TRUE)))</f>
        <v/>
      </c>
      <c r="U3" s="34">
        <f>IF($A3="",NA(),1-T3)</f>
        <v/>
      </c>
    </row>
    <row r="4">
      <c r="A4" t="inlineStr">
        <is>
          <t>25/10/2026</t>
        </is>
      </c>
      <c r="B4" t="inlineStr">
        <is>
          <t>17:17:00</t>
        </is>
      </c>
      <c r="C4" s="33" t="n">
        <v>472075</v>
      </c>
      <c r="D4" s="33" t="n">
        <v>9442</v>
      </c>
      <c r="E4" s="33" t="n">
        <v>156454011</v>
      </c>
      <c r="F4" s="33" t="n">
        <v>3129080</v>
      </c>
      <c r="G4" s="33" t="n">
        <v>3124386</v>
      </c>
      <c r="H4" s="33" t="n">
        <v>2468265</v>
      </c>
      <c r="I4" s="33" t="n">
        <v>2468265</v>
      </c>
      <c r="J4" s="33" t="n">
        <v>2357193</v>
      </c>
      <c r="K4" s="33" t="n">
        <v>1260336</v>
      </c>
      <c r="L4" s="33" t="n">
        <v>1096857</v>
      </c>
      <c r="N4" s="34">
        <f>IF($A4="",NA(),IF(C4&gt;0,D4/C4,0))</f>
        <v/>
      </c>
      <c r="O4" s="34">
        <f>IF($A4="",NA(),IF(E4&gt;0,F4/E4,0))</f>
        <v/>
      </c>
      <c r="P4" s="34">
        <f>IF($A4="",NA(),IF(K4+L4&gt;0,K4/(K4+L4),0.5))</f>
        <v/>
      </c>
      <c r="Q4" s="34">
        <f>IF($A4="",NA(),1-P4)</f>
        <v/>
      </c>
      <c r="R4" s="33">
        <f>IF($A4="",NA(),MAX(0,E4-F4)*IF(G4&gt;0,H4/G4,COMPAREC_PAD)*IF(I4&gt;0,J4/I4,VALIDOS_PAD))</f>
        <v/>
      </c>
      <c r="S4" s="34">
        <f>IF($A4="",NA(),IF(R4&gt;0,0.5-(K4-L4)/(2*R4),0))</f>
        <v/>
      </c>
      <c r="T4" s="34">
        <f>IF($A4="",NA(),IF(R4&lt;=0,IF(K4&gt;L4,1,IF(K4&lt;L4,0,0.5)),1-NORMDIST(S4,P4+AJUSTE,SIGMA,TRUE)))</f>
        <v/>
      </c>
      <c r="U4" s="34">
        <f>IF($A4="",NA(),1-T4)</f>
        <v/>
      </c>
    </row>
    <row r="5">
      <c r="A5" t="inlineStr">
        <is>
          <t>25/10/2026</t>
        </is>
      </c>
      <c r="B5" t="inlineStr">
        <is>
          <t>17:23:00</t>
        </is>
      </c>
      <c r="C5" s="33" t="n">
        <v>472075</v>
      </c>
      <c r="D5" s="33" t="n">
        <v>18883</v>
      </c>
      <c r="E5" s="33" t="n">
        <v>156454011</v>
      </c>
      <c r="F5" s="33" t="n">
        <v>6258160</v>
      </c>
      <c r="G5" s="33" t="n">
        <v>6248773</v>
      </c>
      <c r="H5" s="33" t="n">
        <v>4936531</v>
      </c>
      <c r="I5" s="33" t="n">
        <v>4936531</v>
      </c>
      <c r="J5" s="33" t="n">
        <v>4714387</v>
      </c>
      <c r="K5" s="33" t="n">
        <v>2518571</v>
      </c>
      <c r="L5" s="33" t="n">
        <v>2195816</v>
      </c>
      <c r="N5" s="34">
        <f>IF($A5="",NA(),IF(C5&gt;0,D5/C5,0))</f>
        <v/>
      </c>
      <c r="O5" s="34">
        <f>IF($A5="",NA(),IF(E5&gt;0,F5/E5,0))</f>
        <v/>
      </c>
      <c r="P5" s="34">
        <f>IF($A5="",NA(),IF(K5+L5&gt;0,K5/(K5+L5),0.5))</f>
        <v/>
      </c>
      <c r="Q5" s="34">
        <f>IF($A5="",NA(),1-P5)</f>
        <v/>
      </c>
      <c r="R5" s="33">
        <f>IF($A5="",NA(),MAX(0,E5-F5)*IF(G5&gt;0,H5/G5,COMPAREC_PAD)*IF(I5&gt;0,J5/I5,VALIDOS_PAD))</f>
        <v/>
      </c>
      <c r="S5" s="34">
        <f>IF($A5="",NA(),IF(R5&gt;0,0.5-(K5-L5)/(2*R5),0))</f>
        <v/>
      </c>
      <c r="T5" s="34">
        <f>IF($A5="",NA(),IF(R5&lt;=0,IF(K5&gt;L5,1,IF(K5&lt;L5,0,0.5)),1-NORMDIST(S5,P5+AJUSTE,SIGMA,TRUE)))</f>
        <v/>
      </c>
      <c r="U5" s="34">
        <f>IF($A5="",NA(),1-T5)</f>
        <v/>
      </c>
    </row>
    <row r="6">
      <c r="A6" t="inlineStr">
        <is>
          <t>25/10/2026</t>
        </is>
      </c>
      <c r="B6" t="inlineStr">
        <is>
          <t>17:29:00</t>
        </is>
      </c>
      <c r="C6" s="33" t="n">
        <v>472075</v>
      </c>
      <c r="D6" s="33" t="n">
        <v>33045</v>
      </c>
      <c r="E6" s="33" t="n">
        <v>156454011</v>
      </c>
      <c r="F6" s="33" t="n">
        <v>10951781</v>
      </c>
      <c r="G6" s="33" t="n">
        <v>10935353</v>
      </c>
      <c r="H6" s="33" t="n">
        <v>8638929</v>
      </c>
      <c r="I6" s="33" t="n">
        <v>8638929</v>
      </c>
      <c r="J6" s="33" t="n">
        <v>8250177</v>
      </c>
      <c r="K6" s="33" t="n">
        <v>4401071</v>
      </c>
      <c r="L6" s="33" t="n">
        <v>3849106</v>
      </c>
      <c r="N6" s="34">
        <f>IF($A6="",NA(),IF(C6&gt;0,D6/C6,0))</f>
        <v/>
      </c>
      <c r="O6" s="34">
        <f>IF($A6="",NA(),IF(E6&gt;0,F6/E6,0))</f>
        <v/>
      </c>
      <c r="P6" s="34">
        <f>IF($A6="",NA(),IF(K6+L6&gt;0,K6/(K6+L6),0.5))</f>
        <v/>
      </c>
      <c r="Q6" s="34">
        <f>IF($A6="",NA(),1-P6)</f>
        <v/>
      </c>
      <c r="R6" s="33">
        <f>IF($A6="",NA(),MAX(0,E6-F6)*IF(G6&gt;0,H6/G6,COMPAREC_PAD)*IF(I6&gt;0,J6/I6,VALIDOS_PAD))</f>
        <v/>
      </c>
      <c r="S6" s="34">
        <f>IF($A6="",NA(),IF(R6&gt;0,0.5-(K6-L6)/(2*R6),0))</f>
        <v/>
      </c>
      <c r="T6" s="34">
        <f>IF($A6="",NA(),IF(R6&lt;=0,IF(K6&gt;L6,1,IF(K6&lt;L6,0,0.5)),1-NORMDIST(S6,P6+AJUSTE,SIGMA,TRUE)))</f>
        <v/>
      </c>
      <c r="U6" s="34">
        <f>IF($A6="",NA(),1-T6)</f>
        <v/>
      </c>
    </row>
    <row r="7">
      <c r="A7" t="inlineStr">
        <is>
          <t>25/10/2026</t>
        </is>
      </c>
      <c r="B7" t="inlineStr">
        <is>
          <t>17:35:00</t>
        </is>
      </c>
      <c r="C7" s="33" t="n">
        <v>472075</v>
      </c>
      <c r="D7" s="33" t="n">
        <v>47208</v>
      </c>
      <c r="E7" s="33" t="n">
        <v>156454011</v>
      </c>
      <c r="F7" s="33" t="n">
        <v>15645401</v>
      </c>
      <c r="G7" s="33" t="n">
        <v>15621933</v>
      </c>
      <c r="H7" s="33" t="n">
        <v>12341327</v>
      </c>
      <c r="I7" s="33" t="n">
        <v>12341327</v>
      </c>
      <c r="J7" s="33" t="n">
        <v>11785967</v>
      </c>
      <c r="K7" s="33" t="n">
        <v>6276993</v>
      </c>
      <c r="L7" s="33" t="n">
        <v>5508974</v>
      </c>
      <c r="N7" s="34">
        <f>IF($A7="",NA(),IF(C7&gt;0,D7/C7,0))</f>
        <v/>
      </c>
      <c r="O7" s="34">
        <f>IF($A7="",NA(),IF(E7&gt;0,F7/E7,0))</f>
        <v/>
      </c>
      <c r="P7" s="34">
        <f>IF($A7="",NA(),IF(K7+L7&gt;0,K7/(K7+L7),0.5))</f>
        <v/>
      </c>
      <c r="Q7" s="34">
        <f>IF($A7="",NA(),1-P7)</f>
        <v/>
      </c>
      <c r="R7" s="33">
        <f>IF($A7="",NA(),MAX(0,E7-F7)*IF(G7&gt;0,H7/G7,COMPAREC_PAD)*IF(I7&gt;0,J7/I7,VALIDOS_PAD))</f>
        <v/>
      </c>
      <c r="S7" s="34">
        <f>IF($A7="",NA(),IF(R7&gt;0,0.5-(K7-L7)/(2*R7),0))</f>
        <v/>
      </c>
      <c r="T7" s="34">
        <f>IF($A7="",NA(),IF(R7&lt;=0,IF(K7&gt;L7,1,IF(K7&lt;L7,0,0.5)),1-NORMDIST(S7,P7+AJUSTE,SIGMA,TRUE)))</f>
        <v/>
      </c>
      <c r="U7" s="34">
        <f>IF($A7="",NA(),1-T7)</f>
        <v/>
      </c>
    </row>
    <row r="8">
      <c r="A8" t="inlineStr">
        <is>
          <t>25/10/2026</t>
        </is>
      </c>
      <c r="B8" t="inlineStr">
        <is>
          <t>17:41:00</t>
        </is>
      </c>
      <c r="C8" s="33" t="n">
        <v>472075</v>
      </c>
      <c r="D8" s="33" t="n">
        <v>66090</v>
      </c>
      <c r="E8" s="33" t="n">
        <v>156454011</v>
      </c>
      <c r="F8" s="33" t="n">
        <v>21903562</v>
      </c>
      <c r="G8" s="33" t="n">
        <v>21870707</v>
      </c>
      <c r="H8" s="33" t="n">
        <v>17277859</v>
      </c>
      <c r="I8" s="33" t="n">
        <v>17277859</v>
      </c>
      <c r="J8" s="33" t="n">
        <v>16500355</v>
      </c>
      <c r="K8" s="33" t="n">
        <v>8766929</v>
      </c>
      <c r="L8" s="33" t="n">
        <v>7733426</v>
      </c>
      <c r="N8" s="34">
        <f>IF($A8="",NA(),IF(C8&gt;0,D8/C8,0))</f>
        <v/>
      </c>
      <c r="O8" s="34">
        <f>IF($A8="",NA(),IF(E8&gt;0,F8/E8,0))</f>
        <v/>
      </c>
      <c r="P8" s="34">
        <f>IF($A8="",NA(),IF(K8+L8&gt;0,K8/(K8+L8),0.5))</f>
        <v/>
      </c>
      <c r="Q8" s="34">
        <f>IF($A8="",NA(),1-P8)</f>
        <v/>
      </c>
      <c r="R8" s="33">
        <f>IF($A8="",NA(),MAX(0,E8-F8)*IF(G8&gt;0,H8/G8,COMPAREC_PAD)*IF(I8&gt;0,J8/I8,VALIDOS_PAD))</f>
        <v/>
      </c>
      <c r="S8" s="34">
        <f>IF($A8="",NA(),IF(R8&gt;0,0.5-(K8-L8)/(2*R8),0))</f>
        <v/>
      </c>
      <c r="T8" s="34">
        <f>IF($A8="",NA(),IF(R8&lt;=0,IF(K8&gt;L8,1,IF(K8&lt;L8,0,0.5)),1-NORMDIST(S8,P8+AJUSTE,SIGMA,TRUE)))</f>
        <v/>
      </c>
      <c r="U8" s="34">
        <f>IF($A8="",NA(),1-T8)</f>
        <v/>
      </c>
    </row>
    <row r="9">
      <c r="A9" t="inlineStr">
        <is>
          <t>25/10/2026</t>
        </is>
      </c>
      <c r="B9" t="inlineStr">
        <is>
          <t>17:47:00</t>
        </is>
      </c>
      <c r="C9" s="33" t="n">
        <v>472075</v>
      </c>
      <c r="D9" s="33" t="n">
        <v>89694</v>
      </c>
      <c r="E9" s="33" t="n">
        <v>156454011</v>
      </c>
      <c r="F9" s="33" t="n">
        <v>29726262</v>
      </c>
      <c r="G9" s="33" t="n">
        <v>29681673</v>
      </c>
      <c r="H9" s="33" t="n">
        <v>23448522</v>
      </c>
      <c r="I9" s="33" t="n">
        <v>23448522</v>
      </c>
      <c r="J9" s="33" t="n">
        <v>22393339</v>
      </c>
      <c r="K9" s="33" t="n">
        <v>11859647</v>
      </c>
      <c r="L9" s="33" t="n">
        <v>10533692</v>
      </c>
      <c r="N9" s="34">
        <f>IF($A9="",NA(),IF(C9&gt;0,D9/C9,0))</f>
        <v/>
      </c>
      <c r="O9" s="34">
        <f>IF($A9="",NA(),IF(E9&gt;0,F9/E9,0))</f>
        <v/>
      </c>
      <c r="P9" s="34">
        <f>IF($A9="",NA(),IF(K9+L9&gt;0,K9/(K9+L9),0.5))</f>
        <v/>
      </c>
      <c r="Q9" s="34">
        <f>IF($A9="",NA(),1-P9)</f>
        <v/>
      </c>
      <c r="R9" s="33">
        <f>IF($A9="",NA(),MAX(0,E9-F9)*IF(G9&gt;0,H9/G9,COMPAREC_PAD)*IF(I9&gt;0,J9/I9,VALIDOS_PAD))</f>
        <v/>
      </c>
      <c r="S9" s="34">
        <f>IF($A9="",NA(),IF(R9&gt;0,0.5-(K9-L9)/(2*R9),0))</f>
        <v/>
      </c>
      <c r="T9" s="34">
        <f>IF($A9="",NA(),IF(R9&lt;=0,IF(K9&gt;L9,1,IF(K9&lt;L9,0,0.5)),1-NORMDIST(S9,P9+AJUSTE,SIGMA,TRUE)))</f>
        <v/>
      </c>
      <c r="U9" s="34">
        <f>IF($A9="",NA(),1-T9)</f>
        <v/>
      </c>
    </row>
    <row r="10">
      <c r="A10" t="inlineStr">
        <is>
          <t>25/10/2026</t>
        </is>
      </c>
      <c r="B10" t="inlineStr">
        <is>
          <t>17:53:00</t>
        </is>
      </c>
      <c r="C10" s="33" t="n">
        <v>472075</v>
      </c>
      <c r="D10" s="33" t="n">
        <v>118019</v>
      </c>
      <c r="E10" s="33" t="n">
        <v>156454011</v>
      </c>
      <c r="F10" s="33" t="n">
        <v>39113503</v>
      </c>
      <c r="G10" s="33" t="n">
        <v>39054833</v>
      </c>
      <c r="H10" s="33" t="n">
        <v>30853318</v>
      </c>
      <c r="I10" s="33" t="n">
        <v>30853318</v>
      </c>
      <c r="J10" s="33" t="n">
        <v>29464919</v>
      </c>
      <c r="K10" s="33" t="n">
        <v>15539757</v>
      </c>
      <c r="L10" s="33" t="n">
        <v>13925162</v>
      </c>
      <c r="N10" s="34">
        <f>IF($A10="",NA(),IF(C10&gt;0,D10/C10,0))</f>
        <v/>
      </c>
      <c r="O10" s="34">
        <f>IF($A10="",NA(),IF(E10&gt;0,F10/E10,0))</f>
        <v/>
      </c>
      <c r="P10" s="34">
        <f>IF($A10="",NA(),IF(K10+L10&gt;0,K10/(K10+L10),0.5))</f>
        <v/>
      </c>
      <c r="Q10" s="34">
        <f>IF($A10="",NA(),1-P10)</f>
        <v/>
      </c>
      <c r="R10" s="33">
        <f>IF($A10="",NA(),MAX(0,E10-F10)*IF(G10&gt;0,H10/G10,COMPAREC_PAD)*IF(I10&gt;0,J10/I10,VALIDOS_PAD))</f>
        <v/>
      </c>
      <c r="S10" s="34">
        <f>IF($A10="",NA(),IF(R10&gt;0,0.5-(K10-L10)/(2*R10),0))</f>
        <v/>
      </c>
      <c r="T10" s="34">
        <f>IF($A10="",NA(),IF(R10&lt;=0,IF(K10&gt;L10,1,IF(K10&lt;L10,0,0.5)),1-NORMDIST(S10,P10+AJUSTE,SIGMA,TRUE)))</f>
        <v/>
      </c>
      <c r="U10" s="34">
        <f>IF($A10="",NA(),1-T10)</f>
        <v/>
      </c>
    </row>
    <row r="11">
      <c r="A11" t="inlineStr">
        <is>
          <t>25/10/2026</t>
        </is>
      </c>
      <c r="B11" t="inlineStr">
        <is>
          <t>17:59:00</t>
        </is>
      </c>
      <c r="C11" s="33" t="n">
        <v>472075</v>
      </c>
      <c r="D11" s="33" t="n">
        <v>146343</v>
      </c>
      <c r="E11" s="33" t="n">
        <v>156454011</v>
      </c>
      <c r="F11" s="33" t="n">
        <v>48500743</v>
      </c>
      <c r="G11" s="33" t="n">
        <v>48427992</v>
      </c>
      <c r="H11" s="33" t="n">
        <v>38258114</v>
      </c>
      <c r="I11" s="33" t="n">
        <v>38258114</v>
      </c>
      <c r="J11" s="33" t="n">
        <v>36536499</v>
      </c>
      <c r="K11" s="33" t="n">
        <v>19183616</v>
      </c>
      <c r="L11" s="33" t="n">
        <v>17352883</v>
      </c>
      <c r="N11" s="34">
        <f>IF($A11="",NA(),IF(C11&gt;0,D11/C11,0))</f>
        <v/>
      </c>
      <c r="O11" s="34">
        <f>IF($A11="",NA(),IF(E11&gt;0,F11/E11,0))</f>
        <v/>
      </c>
      <c r="P11" s="34">
        <f>IF($A11="",NA(),IF(K11+L11&gt;0,K11/(K11+L11),0.5))</f>
        <v/>
      </c>
      <c r="Q11" s="34">
        <f>IF($A11="",NA(),1-P11)</f>
        <v/>
      </c>
      <c r="R11" s="33">
        <f>IF($A11="",NA(),MAX(0,E11-F11)*IF(G11&gt;0,H11/G11,COMPAREC_PAD)*IF(I11&gt;0,J11/I11,VALIDOS_PAD))</f>
        <v/>
      </c>
      <c r="S11" s="34">
        <f>IF($A11="",NA(),IF(R11&gt;0,0.5-(K11-L11)/(2*R11),0))</f>
        <v/>
      </c>
      <c r="T11" s="34">
        <f>IF($A11="",NA(),IF(R11&lt;=0,IF(K11&gt;L11,1,IF(K11&lt;L11,0,0.5)),1-NORMDIST(S11,P11+AJUSTE,SIGMA,TRUE)))</f>
        <v/>
      </c>
      <c r="U11" s="34">
        <f>IF($A11="",NA(),1-T11)</f>
        <v/>
      </c>
    </row>
    <row r="12">
      <c r="A12" t="inlineStr">
        <is>
          <t>25/10/2026</t>
        </is>
      </c>
      <c r="B12" t="inlineStr">
        <is>
          <t>18:05:00</t>
        </is>
      </c>
      <c r="C12" s="33" t="n">
        <v>472075</v>
      </c>
      <c r="D12" s="33" t="n">
        <v>174668</v>
      </c>
      <c r="E12" s="33" t="n">
        <v>156454011</v>
      </c>
      <c r="F12" s="33" t="n">
        <v>57887984</v>
      </c>
      <c r="G12" s="33" t="n">
        <v>57801152</v>
      </c>
      <c r="H12" s="33" t="n">
        <v>45662910</v>
      </c>
      <c r="I12" s="33" t="n">
        <v>45662910</v>
      </c>
      <c r="J12" s="33" t="n">
        <v>43608079</v>
      </c>
      <c r="K12" s="33" t="n">
        <v>22789210</v>
      </c>
      <c r="L12" s="33" t="n">
        <v>20818869</v>
      </c>
      <c r="N12" s="34">
        <f>IF($A12="",NA(),IF(C12&gt;0,D12/C12,0))</f>
        <v/>
      </c>
      <c r="O12" s="34">
        <f>IF($A12="",NA(),IF(E12&gt;0,F12/E12,0))</f>
        <v/>
      </c>
      <c r="P12" s="34">
        <f>IF($A12="",NA(),IF(K12+L12&gt;0,K12/(K12+L12),0.5))</f>
        <v/>
      </c>
      <c r="Q12" s="34">
        <f>IF($A12="",NA(),1-P12)</f>
        <v/>
      </c>
      <c r="R12" s="33">
        <f>IF($A12="",NA(),MAX(0,E12-F12)*IF(G12&gt;0,H12/G12,COMPAREC_PAD)*IF(I12&gt;0,J12/I12,VALIDOS_PAD))</f>
        <v/>
      </c>
      <c r="S12" s="34">
        <f>IF($A12="",NA(),IF(R12&gt;0,0.5-(K12-L12)/(2*R12),0))</f>
        <v/>
      </c>
      <c r="T12" s="34">
        <f>IF($A12="",NA(),IF(R12&lt;=0,IF(K12&gt;L12,1,IF(K12&lt;L12,0,0.5)),1-NORMDIST(S12,P12+AJUSTE,SIGMA,TRUE)))</f>
        <v/>
      </c>
      <c r="U12" s="34">
        <f>IF($A12="",NA(),1-T12)</f>
        <v/>
      </c>
    </row>
    <row r="13">
      <c r="A13" t="inlineStr">
        <is>
          <t>25/10/2026</t>
        </is>
      </c>
      <c r="B13" t="inlineStr">
        <is>
          <t>18:11:00</t>
        </is>
      </c>
      <c r="C13" s="33" t="n">
        <v>472075</v>
      </c>
      <c r="D13" s="33" t="n">
        <v>202992</v>
      </c>
      <c r="E13" s="33" t="n">
        <v>156454011</v>
      </c>
      <c r="F13" s="33" t="n">
        <v>67275225</v>
      </c>
      <c r="G13" s="33" t="n">
        <v>67174312</v>
      </c>
      <c r="H13" s="33" t="n">
        <v>53067706</v>
      </c>
      <c r="I13" s="33" t="n">
        <v>53067706</v>
      </c>
      <c r="J13" s="33" t="n">
        <v>50679659</v>
      </c>
      <c r="K13" s="33" t="n">
        <v>26354799</v>
      </c>
      <c r="L13" s="33" t="n">
        <v>24324860</v>
      </c>
      <c r="N13" s="34">
        <f>IF($A13="",NA(),IF(C13&gt;0,D13/C13,0))</f>
        <v/>
      </c>
      <c r="O13" s="34">
        <f>IF($A13="",NA(),IF(E13&gt;0,F13/E13,0))</f>
        <v/>
      </c>
      <c r="P13" s="34">
        <f>IF($A13="",NA(),IF(K13+L13&gt;0,K13/(K13+L13),0.5))</f>
        <v/>
      </c>
      <c r="Q13" s="34">
        <f>IF($A13="",NA(),1-P13)</f>
        <v/>
      </c>
      <c r="R13" s="33">
        <f>IF($A13="",NA(),MAX(0,E13-F13)*IF(G13&gt;0,H13/G13,COMPAREC_PAD)*IF(I13&gt;0,J13/I13,VALIDOS_PAD))</f>
        <v/>
      </c>
      <c r="S13" s="34">
        <f>IF($A13="",NA(),IF(R13&gt;0,0.5-(K13-L13)/(2*R13),0))</f>
        <v/>
      </c>
      <c r="T13" s="34">
        <f>IF($A13="",NA(),IF(R13&lt;=0,IF(K13&gt;L13,1,IF(K13&lt;L13,0,0.5)),1-NORMDIST(S13,P13+AJUSTE,SIGMA,TRUE)))</f>
        <v/>
      </c>
      <c r="U13" s="34">
        <f>IF($A13="",NA(),1-T13)</f>
        <v/>
      </c>
    </row>
    <row r="14">
      <c r="A14" t="inlineStr">
        <is>
          <t>25/10/2026</t>
        </is>
      </c>
      <c r="B14" t="inlineStr">
        <is>
          <t>18:17:00</t>
        </is>
      </c>
      <c r="C14" s="33" t="n">
        <v>472075</v>
      </c>
      <c r="D14" s="33" t="n">
        <v>231317</v>
      </c>
      <c r="E14" s="33" t="n">
        <v>156454011</v>
      </c>
      <c r="F14" s="33" t="n">
        <v>76662465</v>
      </c>
      <c r="G14" s="33" t="n">
        <v>76547471</v>
      </c>
      <c r="H14" s="33" t="n">
        <v>60472502</v>
      </c>
      <c r="I14" s="33" t="n">
        <v>60472502</v>
      </c>
      <c r="J14" s="33" t="n">
        <v>57751239</v>
      </c>
      <c r="K14" s="33" t="n">
        <v>29878849</v>
      </c>
      <c r="L14" s="33" t="n">
        <v>27872390</v>
      </c>
      <c r="N14" s="34">
        <f>IF($A14="",NA(),IF(C14&gt;0,D14/C14,0))</f>
        <v/>
      </c>
      <c r="O14" s="34">
        <f>IF($A14="",NA(),IF(E14&gt;0,F14/E14,0))</f>
        <v/>
      </c>
      <c r="P14" s="34">
        <f>IF($A14="",NA(),IF(K14+L14&gt;0,K14/(K14+L14),0.5))</f>
        <v/>
      </c>
      <c r="Q14" s="34">
        <f>IF($A14="",NA(),1-P14)</f>
        <v/>
      </c>
      <c r="R14" s="33">
        <f>IF($A14="",NA(),MAX(0,E14-F14)*IF(G14&gt;0,H14/G14,COMPAREC_PAD)*IF(I14&gt;0,J14/I14,VALIDOS_PAD))</f>
        <v/>
      </c>
      <c r="S14" s="34">
        <f>IF($A14="",NA(),IF(R14&gt;0,0.5-(K14-L14)/(2*R14),0))</f>
        <v/>
      </c>
      <c r="T14" s="34">
        <f>IF($A14="",NA(),IF(R14&lt;=0,IF(K14&gt;L14,1,IF(K14&lt;L14,0,0.5)),1-NORMDIST(S14,P14+AJUSTE,SIGMA,TRUE)))</f>
        <v/>
      </c>
      <c r="U14" s="34">
        <f>IF($A14="",NA(),1-T14)</f>
        <v/>
      </c>
    </row>
    <row r="15">
      <c r="A15" t="inlineStr">
        <is>
          <t>25/10/2026</t>
        </is>
      </c>
      <c r="B15" t="inlineStr">
        <is>
          <t>18:23:00</t>
        </is>
      </c>
      <c r="C15" s="33" t="n">
        <v>472075</v>
      </c>
      <c r="D15" s="33" t="n">
        <v>259641</v>
      </c>
      <c r="E15" s="33" t="n">
        <v>156454011</v>
      </c>
      <c r="F15" s="33" t="n">
        <v>86049706</v>
      </c>
      <c r="G15" s="33" t="n">
        <v>85920631</v>
      </c>
      <c r="H15" s="33" t="n">
        <v>67877298</v>
      </c>
      <c r="I15" s="33" t="n">
        <v>67877298</v>
      </c>
      <c r="J15" s="33" t="n">
        <v>64822820</v>
      </c>
      <c r="K15" s="33" t="n">
        <v>33359978</v>
      </c>
      <c r="L15" s="33" t="n">
        <v>31462842</v>
      </c>
      <c r="N15" s="34">
        <f>IF($A15="",NA(),IF(C15&gt;0,D15/C15,0))</f>
        <v/>
      </c>
      <c r="O15" s="34">
        <f>IF($A15="",NA(),IF(E15&gt;0,F15/E15,0))</f>
        <v/>
      </c>
      <c r="P15" s="34">
        <f>IF($A15="",NA(),IF(K15+L15&gt;0,K15/(K15+L15),0.5))</f>
        <v/>
      </c>
      <c r="Q15" s="34">
        <f>IF($A15="",NA(),1-P15)</f>
        <v/>
      </c>
      <c r="R15" s="33">
        <f>IF($A15="",NA(),MAX(0,E15-F15)*IF(G15&gt;0,H15/G15,COMPAREC_PAD)*IF(I15&gt;0,J15/I15,VALIDOS_PAD))</f>
        <v/>
      </c>
      <c r="S15" s="34">
        <f>IF($A15="",NA(),IF(R15&gt;0,0.5-(K15-L15)/(2*R15),0))</f>
        <v/>
      </c>
      <c r="T15" s="34">
        <f>IF($A15="",NA(),IF(R15&lt;=0,IF(K15&gt;L15,1,IF(K15&lt;L15,0,0.5)),1-NORMDIST(S15,P15+AJUSTE,SIGMA,TRUE)))</f>
        <v/>
      </c>
      <c r="U15" s="34">
        <f>IF($A15="",NA(),1-T15)</f>
        <v/>
      </c>
    </row>
    <row r="16">
      <c r="A16" t="inlineStr">
        <is>
          <t>25/10/2026</t>
        </is>
      </c>
      <c r="B16" t="inlineStr">
        <is>
          <t>18:29:00</t>
        </is>
      </c>
      <c r="C16" s="33" t="n">
        <v>472075</v>
      </c>
      <c r="D16" s="33" t="n">
        <v>283245</v>
      </c>
      <c r="E16" s="33" t="n">
        <v>156454011</v>
      </c>
      <c r="F16" s="33" t="n">
        <v>93872407</v>
      </c>
      <c r="G16" s="33" t="n">
        <v>93731598</v>
      </c>
      <c r="H16" s="33" t="n">
        <v>74047962</v>
      </c>
      <c r="I16" s="33" t="n">
        <v>74047962</v>
      </c>
      <c r="J16" s="33" t="n">
        <v>70715804</v>
      </c>
      <c r="K16" s="33" t="n">
        <v>36227220</v>
      </c>
      <c r="L16" s="33" t="n">
        <v>34488584</v>
      </c>
      <c r="N16" s="34">
        <f>IF($A16="",NA(),IF(C16&gt;0,D16/C16,0))</f>
        <v/>
      </c>
      <c r="O16" s="34">
        <f>IF($A16="",NA(),IF(E16&gt;0,F16/E16,0))</f>
        <v/>
      </c>
      <c r="P16" s="34">
        <f>IF($A16="",NA(),IF(K16+L16&gt;0,K16/(K16+L16),0.5))</f>
        <v/>
      </c>
      <c r="Q16" s="34">
        <f>IF($A16="",NA(),1-P16)</f>
        <v/>
      </c>
      <c r="R16" s="33">
        <f>IF($A16="",NA(),MAX(0,E16-F16)*IF(G16&gt;0,H16/G16,COMPAREC_PAD)*IF(I16&gt;0,J16/I16,VALIDOS_PAD))</f>
        <v/>
      </c>
      <c r="S16" s="34">
        <f>IF($A16="",NA(),IF(R16&gt;0,0.5-(K16-L16)/(2*R16),0))</f>
        <v/>
      </c>
      <c r="T16" s="34">
        <f>IF($A16="",NA(),IF(R16&lt;=0,IF(K16&gt;L16,1,IF(K16&lt;L16,0,0.5)),1-NORMDIST(S16,P16+AJUSTE,SIGMA,TRUE)))</f>
        <v/>
      </c>
      <c r="U16" s="34">
        <f>IF($A16="",NA(),1-T16)</f>
        <v/>
      </c>
    </row>
    <row r="17">
      <c r="A17" t="inlineStr">
        <is>
          <t>25/10/2026</t>
        </is>
      </c>
      <c r="B17" t="inlineStr">
        <is>
          <t>18:35:00</t>
        </is>
      </c>
      <c r="C17" s="33" t="n">
        <v>472075</v>
      </c>
      <c r="D17" s="33" t="n">
        <v>306849</v>
      </c>
      <c r="E17" s="33" t="n">
        <v>156454011</v>
      </c>
      <c r="F17" s="33" t="n">
        <v>101695107</v>
      </c>
      <c r="G17" s="33" t="n">
        <v>101542564</v>
      </c>
      <c r="H17" s="33" t="n">
        <v>80218626</v>
      </c>
      <c r="I17" s="33" t="n">
        <v>80218626</v>
      </c>
      <c r="J17" s="33" t="n">
        <v>76608788</v>
      </c>
      <c r="K17" s="33" t="n">
        <v>39063102</v>
      </c>
      <c r="L17" s="33" t="n">
        <v>37545686</v>
      </c>
      <c r="N17" s="34">
        <f>IF($A17="",NA(),IF(C17&gt;0,D17/C17,0))</f>
        <v/>
      </c>
      <c r="O17" s="34">
        <f>IF($A17="",NA(),IF(E17&gt;0,F17/E17,0))</f>
        <v/>
      </c>
      <c r="P17" s="34">
        <f>IF($A17="",NA(),IF(K17+L17&gt;0,K17/(K17+L17),0.5))</f>
        <v/>
      </c>
      <c r="Q17" s="34">
        <f>IF($A17="",NA(),1-P17)</f>
        <v/>
      </c>
      <c r="R17" s="33">
        <f>IF($A17="",NA(),MAX(0,E17-F17)*IF(G17&gt;0,H17/G17,COMPAREC_PAD)*IF(I17&gt;0,J17/I17,VALIDOS_PAD))</f>
        <v/>
      </c>
      <c r="S17" s="34">
        <f>IF($A17="",NA(),IF(R17&gt;0,0.5-(K17-L17)/(2*R17),0))</f>
        <v/>
      </c>
      <c r="T17" s="34">
        <f>IF($A17="",NA(),IF(R17&lt;=0,IF(K17&gt;L17,1,IF(K17&lt;L17,0,0.5)),1-NORMDIST(S17,P17+AJUSTE,SIGMA,TRUE)))</f>
        <v/>
      </c>
      <c r="U17" s="34">
        <f>IF($A17="",NA(),1-T17)</f>
        <v/>
      </c>
    </row>
    <row r="18">
      <c r="A18" t="inlineStr">
        <is>
          <t>25/10/2026</t>
        </is>
      </c>
      <c r="B18" t="inlineStr">
        <is>
          <t>18:41:00</t>
        </is>
      </c>
      <c r="C18" s="33" t="n">
        <v>472075</v>
      </c>
      <c r="D18" s="33" t="n">
        <v>330452</v>
      </c>
      <c r="E18" s="33" t="n">
        <v>156454011</v>
      </c>
      <c r="F18" s="33" t="n">
        <v>109517808</v>
      </c>
      <c r="G18" s="33" t="n">
        <v>109353531</v>
      </c>
      <c r="H18" s="33" t="n">
        <v>86389289</v>
      </c>
      <c r="I18" s="33" t="n">
        <v>86389289</v>
      </c>
      <c r="J18" s="33" t="n">
        <v>82501771</v>
      </c>
      <c r="K18" s="33" t="n">
        <v>41866992</v>
      </c>
      <c r="L18" s="33" t="n">
        <v>40634779</v>
      </c>
      <c r="N18" s="34">
        <f>IF($A18="",NA(),IF(C18&gt;0,D18/C18,0))</f>
        <v/>
      </c>
      <c r="O18" s="34">
        <f>IF($A18="",NA(),IF(E18&gt;0,F18/E18,0))</f>
        <v/>
      </c>
      <c r="P18" s="34">
        <f>IF($A18="",NA(),IF(K18+L18&gt;0,K18/(K18+L18),0.5))</f>
        <v/>
      </c>
      <c r="Q18" s="34">
        <f>IF($A18="",NA(),1-P18)</f>
        <v/>
      </c>
      <c r="R18" s="33">
        <f>IF($A18="",NA(),MAX(0,E18-F18)*IF(G18&gt;0,H18/G18,COMPAREC_PAD)*IF(I18&gt;0,J18/I18,VALIDOS_PAD))</f>
        <v/>
      </c>
      <c r="S18" s="34">
        <f>IF($A18="",NA(),IF(R18&gt;0,0.5-(K18-L18)/(2*R18),0))</f>
        <v/>
      </c>
      <c r="T18" s="34">
        <f>IF($A18="",NA(),IF(R18&lt;=0,IF(K18&gt;L18,1,IF(K18&lt;L18,0,0.5)),1-NORMDIST(S18,P18+AJUSTE,SIGMA,TRUE)))</f>
        <v/>
      </c>
      <c r="U18" s="34">
        <f>IF($A18="",NA(),1-T18)</f>
        <v/>
      </c>
    </row>
    <row r="19">
      <c r="A19" t="inlineStr">
        <is>
          <t>25/10/2026</t>
        </is>
      </c>
      <c r="B19" t="inlineStr">
        <is>
          <t>18:47:00</t>
        </is>
      </c>
      <c r="C19" s="33" t="n">
        <v>472075</v>
      </c>
      <c r="D19" s="33" t="n">
        <v>349336</v>
      </c>
      <c r="E19" s="33" t="n">
        <v>156454011</v>
      </c>
      <c r="F19" s="33" t="n">
        <v>115775968</v>
      </c>
      <c r="G19" s="33" t="n">
        <v>115602304</v>
      </c>
      <c r="H19" s="33" t="n">
        <v>91325820</v>
      </c>
      <c r="I19" s="33" t="n">
        <v>91325820</v>
      </c>
      <c r="J19" s="33" t="n">
        <v>87216158</v>
      </c>
      <c r="K19" s="33" t="n">
        <v>44086665</v>
      </c>
      <c r="L19" s="33" t="n">
        <v>43129493</v>
      </c>
      <c r="N19" s="34">
        <f>IF($A19="",NA(),IF(C19&gt;0,D19/C19,0))</f>
        <v/>
      </c>
      <c r="O19" s="34">
        <f>IF($A19="",NA(),IF(E19&gt;0,F19/E19,0))</f>
        <v/>
      </c>
      <c r="P19" s="34">
        <f>IF($A19="",NA(),IF(K19+L19&gt;0,K19/(K19+L19),0.5))</f>
        <v/>
      </c>
      <c r="Q19" s="34">
        <f>IF($A19="",NA(),1-P19)</f>
        <v/>
      </c>
      <c r="R19" s="33">
        <f>IF($A19="",NA(),MAX(0,E19-F19)*IF(G19&gt;0,H19/G19,COMPAREC_PAD)*IF(I19&gt;0,J19/I19,VALIDOS_PAD))</f>
        <v/>
      </c>
      <c r="S19" s="34">
        <f>IF($A19="",NA(),IF(R19&gt;0,0.5-(K19-L19)/(2*R19),0))</f>
        <v/>
      </c>
      <c r="T19" s="34">
        <f>IF($A19="",NA(),IF(R19&lt;=0,IF(K19&gt;L19,1,IF(K19&lt;L19,0,0.5)),1-NORMDIST(S19,P19+AJUSTE,SIGMA,TRUE)))</f>
        <v/>
      </c>
      <c r="U19" s="34">
        <f>IF($A19="",NA(),1-T19)</f>
        <v/>
      </c>
    </row>
    <row r="20">
      <c r="A20" t="inlineStr">
        <is>
          <t>25/10/2026</t>
        </is>
      </c>
      <c r="B20" t="inlineStr">
        <is>
          <t>18:53:00</t>
        </is>
      </c>
      <c r="C20" s="33" t="n">
        <v>472075</v>
      </c>
      <c r="D20" s="33" t="n">
        <v>368218</v>
      </c>
      <c r="E20" s="33" t="n">
        <v>156454011</v>
      </c>
      <c r="F20" s="33" t="n">
        <v>122034129</v>
      </c>
      <c r="G20" s="33" t="n">
        <v>121851078</v>
      </c>
      <c r="H20" s="33" t="n">
        <v>96262352</v>
      </c>
      <c r="I20" s="33" t="n">
        <v>96262352</v>
      </c>
      <c r="J20" s="33" t="n">
        <v>91930546</v>
      </c>
      <c r="K20" s="33" t="n">
        <v>46285188</v>
      </c>
      <c r="L20" s="33" t="n">
        <v>45645358</v>
      </c>
      <c r="N20" s="34">
        <f>IF($A20="",NA(),IF(C20&gt;0,D20/C20,0))</f>
        <v/>
      </c>
      <c r="O20" s="34">
        <f>IF($A20="",NA(),IF(E20&gt;0,F20/E20,0))</f>
        <v/>
      </c>
      <c r="P20" s="34">
        <f>IF($A20="",NA(),IF(K20+L20&gt;0,K20/(K20+L20),0.5))</f>
        <v/>
      </c>
      <c r="Q20" s="34">
        <f>IF($A20="",NA(),1-P20)</f>
        <v/>
      </c>
      <c r="R20" s="33">
        <f>IF($A20="",NA(),MAX(0,E20-F20)*IF(G20&gt;0,H20/G20,COMPAREC_PAD)*IF(I20&gt;0,J20/I20,VALIDOS_PAD))</f>
        <v/>
      </c>
      <c r="S20" s="34">
        <f>IF($A20="",NA(),IF(R20&gt;0,0.5-(K20-L20)/(2*R20),0))</f>
        <v/>
      </c>
      <c r="T20" s="34">
        <f>IF($A20="",NA(),IF(R20&lt;=0,IF(K20&gt;L20,1,IF(K20&lt;L20,0,0.5)),1-NORMDIST(S20,P20+AJUSTE,SIGMA,TRUE)))</f>
        <v/>
      </c>
      <c r="U20" s="34">
        <f>IF($A20="",NA(),1-T20)</f>
        <v/>
      </c>
    </row>
    <row r="21">
      <c r="A21" t="inlineStr">
        <is>
          <t>25/10/2026</t>
        </is>
      </c>
      <c r="B21" t="inlineStr">
        <is>
          <t>18:59:00</t>
        </is>
      </c>
      <c r="C21" s="33" t="n">
        <v>472075</v>
      </c>
      <c r="D21" s="33" t="n">
        <v>387102</v>
      </c>
      <c r="E21" s="33" t="n">
        <v>156454011</v>
      </c>
      <c r="F21" s="33" t="n">
        <v>128292289</v>
      </c>
      <c r="G21" s="33" t="n">
        <v>128099851</v>
      </c>
      <c r="H21" s="33" t="n">
        <v>101198882</v>
      </c>
      <c r="I21" s="33" t="n">
        <v>101198882</v>
      </c>
      <c r="J21" s="33" t="n">
        <v>96644932</v>
      </c>
      <c r="K21" s="33" t="n">
        <v>48462278</v>
      </c>
      <c r="L21" s="33" t="n">
        <v>48182654</v>
      </c>
      <c r="N21" s="34">
        <f>IF($A21="",NA(),IF(C21&gt;0,D21/C21,0))</f>
        <v/>
      </c>
      <c r="O21" s="34">
        <f>IF($A21="",NA(),IF(E21&gt;0,F21/E21,0))</f>
        <v/>
      </c>
      <c r="P21" s="34">
        <f>IF($A21="",NA(),IF(K21+L21&gt;0,K21/(K21+L21),0.5))</f>
        <v/>
      </c>
      <c r="Q21" s="34">
        <f>IF($A21="",NA(),1-P21)</f>
        <v/>
      </c>
      <c r="R21" s="33">
        <f>IF($A21="",NA(),MAX(0,E21-F21)*IF(G21&gt;0,H21/G21,COMPAREC_PAD)*IF(I21&gt;0,J21/I21,VALIDOS_PAD))</f>
        <v/>
      </c>
      <c r="S21" s="34">
        <f>IF($A21="",NA(),IF(R21&gt;0,0.5-(K21-L21)/(2*R21),0))</f>
        <v/>
      </c>
      <c r="T21" s="34">
        <f>IF($A21="",NA(),IF(R21&lt;=0,IF(K21&gt;L21,1,IF(K21&lt;L21,0,0.5)),1-NORMDIST(S21,P21+AJUSTE,SIGMA,TRUE)))</f>
        <v/>
      </c>
      <c r="U21" s="34">
        <f>IF($A21="",NA(),1-T21)</f>
        <v/>
      </c>
    </row>
    <row r="22">
      <c r="A22" t="inlineStr">
        <is>
          <t>25/10/2026</t>
        </is>
      </c>
      <c r="B22" t="inlineStr">
        <is>
          <t>19:05:00</t>
        </is>
      </c>
      <c r="C22" s="33" t="n">
        <v>472075</v>
      </c>
      <c r="D22" s="33" t="n">
        <v>401264</v>
      </c>
      <c r="E22" s="33" t="n">
        <v>156454011</v>
      </c>
      <c r="F22" s="33" t="n">
        <v>132985909</v>
      </c>
      <c r="G22" s="33" t="n">
        <v>132786430</v>
      </c>
      <c r="H22" s="33" t="n">
        <v>104901280</v>
      </c>
      <c r="I22" s="33" t="n">
        <v>104901280</v>
      </c>
      <c r="J22" s="33" t="n">
        <v>100180722</v>
      </c>
      <c r="K22" s="33" t="n">
        <v>50080869</v>
      </c>
      <c r="L22" s="33" t="n">
        <v>50099853</v>
      </c>
      <c r="N22" s="34">
        <f>IF($A22="",NA(),IF(C22&gt;0,D22/C22,0))</f>
        <v/>
      </c>
      <c r="O22" s="34">
        <f>IF($A22="",NA(),IF(E22&gt;0,F22/E22,0))</f>
        <v/>
      </c>
      <c r="P22" s="34">
        <f>IF($A22="",NA(),IF(K22+L22&gt;0,K22/(K22+L22),0.5))</f>
        <v/>
      </c>
      <c r="Q22" s="34">
        <f>IF($A22="",NA(),1-P22)</f>
        <v/>
      </c>
      <c r="R22" s="33">
        <f>IF($A22="",NA(),MAX(0,E22-F22)*IF(G22&gt;0,H22/G22,COMPAREC_PAD)*IF(I22&gt;0,J22/I22,VALIDOS_PAD))</f>
        <v/>
      </c>
      <c r="S22" s="34">
        <f>IF($A22="",NA(),IF(R22&gt;0,0.5-(K22-L22)/(2*R22),0))</f>
        <v/>
      </c>
      <c r="T22" s="34">
        <f>IF($A22="",NA(),IF(R22&lt;=0,IF(K22&gt;L22,1,IF(K22&lt;L22,0,0.5)),1-NORMDIST(S22,P22+AJUSTE,SIGMA,TRUE)))</f>
        <v/>
      </c>
      <c r="U22" s="34">
        <f>IF($A22="",NA(),1-T22)</f>
        <v/>
      </c>
    </row>
    <row r="23">
      <c r="A23" t="inlineStr">
        <is>
          <t>25/10/2026</t>
        </is>
      </c>
      <c r="B23" t="inlineStr">
        <is>
          <t>19:11:00</t>
        </is>
      </c>
      <c r="C23" s="33" t="n">
        <v>472075</v>
      </c>
      <c r="D23" s="33" t="n">
        <v>415426</v>
      </c>
      <c r="E23" s="33" t="n">
        <v>156454011</v>
      </c>
      <c r="F23" s="33" t="n">
        <v>137679530</v>
      </c>
      <c r="G23" s="33" t="n">
        <v>137473011</v>
      </c>
      <c r="H23" s="33" t="n">
        <v>108603679</v>
      </c>
      <c r="I23" s="33" t="n">
        <v>108603679</v>
      </c>
      <c r="J23" s="33" t="n">
        <v>103716513</v>
      </c>
      <c r="K23" s="33" t="n">
        <v>51687143</v>
      </c>
      <c r="L23" s="33" t="n">
        <v>52029370</v>
      </c>
      <c r="N23" s="34">
        <f>IF($A23="",NA(),IF(C23&gt;0,D23/C23,0))</f>
        <v/>
      </c>
      <c r="O23" s="34">
        <f>IF($A23="",NA(),IF(E23&gt;0,F23/E23,0))</f>
        <v/>
      </c>
      <c r="P23" s="34">
        <f>IF($A23="",NA(),IF(K23+L23&gt;0,K23/(K23+L23),0.5))</f>
        <v/>
      </c>
      <c r="Q23" s="34">
        <f>IF($A23="",NA(),1-P23)</f>
        <v/>
      </c>
      <c r="R23" s="33">
        <f>IF($A23="",NA(),MAX(0,E23-F23)*IF(G23&gt;0,H23/G23,COMPAREC_PAD)*IF(I23&gt;0,J23/I23,VALIDOS_PAD))</f>
        <v/>
      </c>
      <c r="S23" s="34">
        <f>IF($A23="",NA(),IF(R23&gt;0,0.5-(K23-L23)/(2*R23),0))</f>
        <v/>
      </c>
      <c r="T23" s="34">
        <f>IF($A23="",NA(),IF(R23&lt;=0,IF(K23&gt;L23,1,IF(K23&lt;L23,0,0.5)),1-NORMDIST(S23,P23+AJUSTE,SIGMA,TRUE)))</f>
        <v/>
      </c>
      <c r="U23" s="34">
        <f>IF($A23="",NA(),1-T23)</f>
        <v/>
      </c>
    </row>
    <row r="24">
      <c r="A24" t="inlineStr">
        <is>
          <t>25/10/2026</t>
        </is>
      </c>
      <c r="B24" t="inlineStr">
        <is>
          <t>19:17:00</t>
        </is>
      </c>
      <c r="C24" s="33" t="n">
        <v>472075</v>
      </c>
      <c r="D24" s="33" t="n">
        <v>427228</v>
      </c>
      <c r="E24" s="33" t="n">
        <v>156454011</v>
      </c>
      <c r="F24" s="33" t="n">
        <v>141590880</v>
      </c>
      <c r="G24" s="33" t="n">
        <v>141378494</v>
      </c>
      <c r="H24" s="33" t="n">
        <v>111689010</v>
      </c>
      <c r="I24" s="33" t="n">
        <v>111689010</v>
      </c>
      <c r="J24" s="33" t="n">
        <v>106663005</v>
      </c>
      <c r="K24" s="33" t="n">
        <v>53016218</v>
      </c>
      <c r="L24" s="33" t="n">
        <v>53646787</v>
      </c>
      <c r="N24" s="34">
        <f>IF($A24="",NA(),IF(C24&gt;0,D24/C24,0))</f>
        <v/>
      </c>
      <c r="O24" s="34">
        <f>IF($A24="",NA(),IF(E24&gt;0,F24/E24,0))</f>
        <v/>
      </c>
      <c r="P24" s="34">
        <f>IF($A24="",NA(),IF(K24+L24&gt;0,K24/(K24+L24),0.5))</f>
        <v/>
      </c>
      <c r="Q24" s="34">
        <f>IF($A24="",NA(),1-P24)</f>
        <v/>
      </c>
      <c r="R24" s="33">
        <f>IF($A24="",NA(),MAX(0,E24-F24)*IF(G24&gt;0,H24/G24,COMPAREC_PAD)*IF(I24&gt;0,J24/I24,VALIDOS_PAD))</f>
        <v/>
      </c>
      <c r="S24" s="34">
        <f>IF($A24="",NA(),IF(R24&gt;0,0.5-(K24-L24)/(2*R24),0))</f>
        <v/>
      </c>
      <c r="T24" s="34">
        <f>IF($A24="",NA(),IF(R24&lt;=0,IF(K24&gt;L24,1,IF(K24&lt;L24,0,0.5)),1-NORMDIST(S24,P24+AJUSTE,SIGMA,TRUE)))</f>
        <v/>
      </c>
      <c r="U24" s="34">
        <f>IF($A24="",NA(),1-T24)</f>
        <v/>
      </c>
    </row>
    <row r="25">
      <c r="A25" t="inlineStr">
        <is>
          <t>25/10/2026</t>
        </is>
      </c>
      <c r="B25" t="inlineStr">
        <is>
          <t>19:23:00</t>
        </is>
      </c>
      <c r="C25" s="33" t="n">
        <v>472075</v>
      </c>
      <c r="D25" s="33" t="n">
        <v>436669</v>
      </c>
      <c r="E25" s="33" t="n">
        <v>156454011</v>
      </c>
      <c r="F25" s="33" t="n">
        <v>144719960</v>
      </c>
      <c r="G25" s="33" t="n">
        <v>144502880</v>
      </c>
      <c r="H25" s="33" t="n">
        <v>114157275</v>
      </c>
      <c r="I25" s="33" t="n">
        <v>114157275</v>
      </c>
      <c r="J25" s="33" t="n">
        <v>109020198</v>
      </c>
      <c r="K25" s="33" t="n">
        <v>54073225</v>
      </c>
      <c r="L25" s="33" t="n">
        <v>54946973</v>
      </c>
      <c r="N25" s="34">
        <f>IF($A25="",NA(),IF(C25&gt;0,D25/C25,0))</f>
        <v/>
      </c>
      <c r="O25" s="34">
        <f>IF($A25="",NA(),IF(E25&gt;0,F25/E25,0))</f>
        <v/>
      </c>
      <c r="P25" s="34">
        <f>IF($A25="",NA(),IF(K25+L25&gt;0,K25/(K25+L25),0.5))</f>
        <v/>
      </c>
      <c r="Q25" s="34">
        <f>IF($A25="",NA(),1-P25)</f>
        <v/>
      </c>
      <c r="R25" s="33">
        <f>IF($A25="",NA(),MAX(0,E25-F25)*IF(G25&gt;0,H25/G25,COMPAREC_PAD)*IF(I25&gt;0,J25/I25,VALIDOS_PAD))</f>
        <v/>
      </c>
      <c r="S25" s="34">
        <f>IF($A25="",NA(),IF(R25&gt;0,0.5-(K25-L25)/(2*R25),0))</f>
        <v/>
      </c>
      <c r="T25" s="34">
        <f>IF($A25="",NA(),IF(R25&lt;=0,IF(K25&gt;L25,1,IF(K25&lt;L25,0,0.5)),1-NORMDIST(S25,P25+AJUSTE,SIGMA,TRUE)))</f>
        <v/>
      </c>
      <c r="U25" s="34">
        <f>IF($A25="",NA(),1-T25)</f>
        <v/>
      </c>
    </row>
    <row r="26">
      <c r="A26" t="inlineStr">
        <is>
          <t>25/10/2026</t>
        </is>
      </c>
      <c r="B26" t="inlineStr">
        <is>
          <t>19:29:00</t>
        </is>
      </c>
      <c r="C26" s="33" t="n">
        <v>472075</v>
      </c>
      <c r="D26" s="33" t="n">
        <v>443750</v>
      </c>
      <c r="E26" s="33" t="n">
        <v>156454011</v>
      </c>
      <c r="F26" s="33" t="n">
        <v>147066770</v>
      </c>
      <c r="G26" s="33" t="n">
        <v>146846170</v>
      </c>
      <c r="H26" s="33" t="n">
        <v>116008474</v>
      </c>
      <c r="I26" s="33" t="n">
        <v>116008474</v>
      </c>
      <c r="J26" s="33" t="n">
        <v>110788093</v>
      </c>
      <c r="K26" s="33" t="n">
        <v>54862312</v>
      </c>
      <c r="L26" s="33" t="n">
        <v>55925781</v>
      </c>
      <c r="N26" s="34">
        <f>IF($A26="",NA(),IF(C26&gt;0,D26/C26,0))</f>
        <v/>
      </c>
      <c r="O26" s="34">
        <f>IF($A26="",NA(),IF(E26&gt;0,F26/E26,0))</f>
        <v/>
      </c>
      <c r="P26" s="34">
        <f>IF($A26="",NA(),IF(K26+L26&gt;0,K26/(K26+L26),0.5))</f>
        <v/>
      </c>
      <c r="Q26" s="34">
        <f>IF($A26="",NA(),1-P26)</f>
        <v/>
      </c>
      <c r="R26" s="33">
        <f>IF($A26="",NA(),MAX(0,E26-F26)*IF(G26&gt;0,H26/G26,COMPAREC_PAD)*IF(I26&gt;0,J26/I26,VALIDOS_PAD))</f>
        <v/>
      </c>
      <c r="S26" s="34">
        <f>IF($A26="",NA(),IF(R26&gt;0,0.5-(K26-L26)/(2*R26),0))</f>
        <v/>
      </c>
      <c r="T26" s="34">
        <f>IF($A26="",NA(),IF(R26&lt;=0,IF(K26&gt;L26,1,IF(K26&lt;L26,0,0.5)),1-NORMDIST(S26,P26+AJUSTE,SIGMA,TRUE)))</f>
        <v/>
      </c>
      <c r="U26" s="34">
        <f>IF($A26="",NA(),1-T26)</f>
        <v/>
      </c>
    </row>
    <row r="27"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N27" s="34">
        <f>IF($A27="",NA(),IF(C27&gt;0,D27/C27,0))</f>
        <v/>
      </c>
      <c r="O27" s="34">
        <f>IF($A27="",NA(),IF(E27&gt;0,F27/E27,0))</f>
        <v/>
      </c>
      <c r="P27" s="34">
        <f>IF($A27="",NA(),IF(K27+L27&gt;0,K27/(K27+L27),0.5))</f>
        <v/>
      </c>
      <c r="Q27" s="34">
        <f>IF($A27="",NA(),1-P27)</f>
        <v/>
      </c>
      <c r="R27" s="33">
        <f>IF($A27="",NA(),MAX(0,E27-F27)*IF(G27&gt;0,H27/G27,COMPAREC_PAD)*IF(I27&gt;0,J27/I27,VALIDOS_PAD))</f>
        <v/>
      </c>
      <c r="S27" s="34">
        <f>IF($A27="",NA(),IF(R27&gt;0,0.5-(K27-L27)/(2*R27),0))</f>
        <v/>
      </c>
      <c r="T27" s="34">
        <f>IF($A27="",NA(),IF(R27&lt;=0,IF(K27&gt;L27,1,IF(K27&lt;L27,0,0.5)),1-NORMDIST(S27,P27+AJUSTE,SIGMA,TRUE)))</f>
        <v/>
      </c>
      <c r="U27" s="34">
        <f>IF($A27="",NA(),1-T27)</f>
        <v/>
      </c>
    </row>
    <row r="28"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N28" s="34">
        <f>IF($A28="",NA(),IF(C28&gt;0,D28/C28,0))</f>
        <v/>
      </c>
      <c r="O28" s="34">
        <f>IF($A28="",NA(),IF(E28&gt;0,F28/E28,0))</f>
        <v/>
      </c>
      <c r="P28" s="34">
        <f>IF($A28="",NA(),IF(K28+L28&gt;0,K28/(K28+L28),0.5))</f>
        <v/>
      </c>
      <c r="Q28" s="34">
        <f>IF($A28="",NA(),1-P28)</f>
        <v/>
      </c>
      <c r="R28" s="33">
        <f>IF($A28="",NA(),MAX(0,E28-F28)*IF(G28&gt;0,H28/G28,COMPAREC_PAD)*IF(I28&gt;0,J28/I28,VALIDOS_PAD))</f>
        <v/>
      </c>
      <c r="S28" s="34">
        <f>IF($A28="",NA(),IF(R28&gt;0,0.5-(K28-L28)/(2*R28),0))</f>
        <v/>
      </c>
      <c r="T28" s="34">
        <f>IF($A28="",NA(),IF(R28&lt;=0,IF(K28&gt;L28,1,IF(K28&lt;L28,0,0.5)),1-NORMDIST(S28,P28+AJUSTE,SIGMA,TRUE)))</f>
        <v/>
      </c>
      <c r="U28" s="34">
        <f>IF($A28="",NA(),1-T28)</f>
        <v/>
      </c>
    </row>
    <row r="29"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N29" s="34">
        <f>IF($A29="",NA(),IF(C29&gt;0,D29/C29,0))</f>
        <v/>
      </c>
      <c r="O29" s="34">
        <f>IF($A29="",NA(),IF(E29&gt;0,F29/E29,0))</f>
        <v/>
      </c>
      <c r="P29" s="34">
        <f>IF($A29="",NA(),IF(K29+L29&gt;0,K29/(K29+L29),0.5))</f>
        <v/>
      </c>
      <c r="Q29" s="34">
        <f>IF($A29="",NA(),1-P29)</f>
        <v/>
      </c>
      <c r="R29" s="33">
        <f>IF($A29="",NA(),MAX(0,E29-F29)*IF(G29&gt;0,H29/G29,COMPAREC_PAD)*IF(I29&gt;0,J29/I29,VALIDOS_PAD))</f>
        <v/>
      </c>
      <c r="S29" s="34">
        <f>IF($A29="",NA(),IF(R29&gt;0,0.5-(K29-L29)/(2*R29),0))</f>
        <v/>
      </c>
      <c r="T29" s="34">
        <f>IF($A29="",NA(),IF(R29&lt;=0,IF(K29&gt;L29,1,IF(K29&lt;L29,0,0.5)),1-NORMDIST(S29,P29+AJUSTE,SIGMA,TRUE)))</f>
        <v/>
      </c>
      <c r="U29" s="34">
        <f>IF($A29="",NA(),1-T29)</f>
        <v/>
      </c>
    </row>
    <row r="30"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N30" s="34">
        <f>IF($A30="",NA(),IF(C30&gt;0,D30/C30,0))</f>
        <v/>
      </c>
      <c r="O30" s="34">
        <f>IF($A30="",NA(),IF(E30&gt;0,F30/E30,0))</f>
        <v/>
      </c>
      <c r="P30" s="34">
        <f>IF($A30="",NA(),IF(K30+L30&gt;0,K30/(K30+L30),0.5))</f>
        <v/>
      </c>
      <c r="Q30" s="34">
        <f>IF($A30="",NA(),1-P30)</f>
        <v/>
      </c>
      <c r="R30" s="33">
        <f>IF($A30="",NA(),MAX(0,E30-F30)*IF(G30&gt;0,H30/G30,COMPAREC_PAD)*IF(I30&gt;0,J30/I30,VALIDOS_PAD))</f>
        <v/>
      </c>
      <c r="S30" s="34">
        <f>IF($A30="",NA(),IF(R30&gt;0,0.5-(K30-L30)/(2*R30),0))</f>
        <v/>
      </c>
      <c r="T30" s="34">
        <f>IF($A30="",NA(),IF(R30&lt;=0,IF(K30&gt;L30,1,IF(K30&lt;L30,0,0.5)),1-NORMDIST(S30,P30+AJUSTE,SIGMA,TRUE)))</f>
        <v/>
      </c>
      <c r="U30" s="34">
        <f>IF($A30="",NA(),1-T30)</f>
        <v/>
      </c>
    </row>
    <row r="31"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N31" s="34">
        <f>IF($A31="",NA(),IF(C31&gt;0,D31/C31,0))</f>
        <v/>
      </c>
      <c r="O31" s="34">
        <f>IF($A31="",NA(),IF(E31&gt;0,F31/E31,0))</f>
        <v/>
      </c>
      <c r="P31" s="34">
        <f>IF($A31="",NA(),IF(K31+L31&gt;0,K31/(K31+L31),0.5))</f>
        <v/>
      </c>
      <c r="Q31" s="34">
        <f>IF($A31="",NA(),1-P31)</f>
        <v/>
      </c>
      <c r="R31" s="33">
        <f>IF($A31="",NA(),MAX(0,E31-F31)*IF(G31&gt;0,H31/G31,COMPAREC_PAD)*IF(I31&gt;0,J31/I31,VALIDOS_PAD))</f>
        <v/>
      </c>
      <c r="S31" s="34">
        <f>IF($A31="",NA(),IF(R31&gt;0,0.5-(K31-L31)/(2*R31),0))</f>
        <v/>
      </c>
      <c r="T31" s="34">
        <f>IF($A31="",NA(),IF(R31&lt;=0,IF(K31&gt;L31,1,IF(K31&lt;L31,0,0.5)),1-NORMDIST(S31,P31+AJUSTE,SIGMA,TRUE)))</f>
        <v/>
      </c>
      <c r="U31" s="34">
        <f>IF($A31="",NA(),1-T31)</f>
        <v/>
      </c>
    </row>
    <row r="32"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N32" s="34">
        <f>IF($A32="",NA(),IF(C32&gt;0,D32/C32,0))</f>
        <v/>
      </c>
      <c r="O32" s="34">
        <f>IF($A32="",NA(),IF(E32&gt;0,F32/E32,0))</f>
        <v/>
      </c>
      <c r="P32" s="34">
        <f>IF($A32="",NA(),IF(K32+L32&gt;0,K32/(K32+L32),0.5))</f>
        <v/>
      </c>
      <c r="Q32" s="34">
        <f>IF($A32="",NA(),1-P32)</f>
        <v/>
      </c>
      <c r="R32" s="33">
        <f>IF($A32="",NA(),MAX(0,E32-F32)*IF(G32&gt;0,H32/G32,COMPAREC_PAD)*IF(I32&gt;0,J32/I32,VALIDOS_PAD))</f>
        <v/>
      </c>
      <c r="S32" s="34">
        <f>IF($A32="",NA(),IF(R32&gt;0,0.5-(K32-L32)/(2*R32),0))</f>
        <v/>
      </c>
      <c r="T32" s="34">
        <f>IF($A32="",NA(),IF(R32&lt;=0,IF(K32&gt;L32,1,IF(K32&lt;L32,0,0.5)),1-NORMDIST(S32,P32+AJUSTE,SIGMA,TRUE)))</f>
        <v/>
      </c>
      <c r="U32" s="34">
        <f>IF($A32="",NA(),1-T32)</f>
        <v/>
      </c>
    </row>
    <row r="33"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N33" s="34">
        <f>IF($A33="",NA(),IF(C33&gt;0,D33/C33,0))</f>
        <v/>
      </c>
      <c r="O33" s="34">
        <f>IF($A33="",NA(),IF(E33&gt;0,F33/E33,0))</f>
        <v/>
      </c>
      <c r="P33" s="34">
        <f>IF($A33="",NA(),IF(K33+L33&gt;0,K33/(K33+L33),0.5))</f>
        <v/>
      </c>
      <c r="Q33" s="34">
        <f>IF($A33="",NA(),1-P33)</f>
        <v/>
      </c>
      <c r="R33" s="33">
        <f>IF($A33="",NA(),MAX(0,E33-F33)*IF(G33&gt;0,H33/G33,COMPAREC_PAD)*IF(I33&gt;0,J33/I33,VALIDOS_PAD))</f>
        <v/>
      </c>
      <c r="S33" s="34">
        <f>IF($A33="",NA(),IF(R33&gt;0,0.5-(K33-L33)/(2*R33),0))</f>
        <v/>
      </c>
      <c r="T33" s="34">
        <f>IF($A33="",NA(),IF(R33&lt;=0,IF(K33&gt;L33,1,IF(K33&lt;L33,0,0.5)),1-NORMDIST(S33,P33+AJUSTE,SIGMA,TRUE)))</f>
        <v/>
      </c>
      <c r="U33" s="34">
        <f>IF($A33="",NA(),1-T33)</f>
        <v/>
      </c>
    </row>
    <row r="34"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N34" s="34">
        <f>IF($A34="",NA(),IF(C34&gt;0,D34/C34,0))</f>
        <v/>
      </c>
      <c r="O34" s="34">
        <f>IF($A34="",NA(),IF(E34&gt;0,F34/E34,0))</f>
        <v/>
      </c>
      <c r="P34" s="34">
        <f>IF($A34="",NA(),IF(K34+L34&gt;0,K34/(K34+L34),0.5))</f>
        <v/>
      </c>
      <c r="Q34" s="34">
        <f>IF($A34="",NA(),1-P34)</f>
        <v/>
      </c>
      <c r="R34" s="33">
        <f>IF($A34="",NA(),MAX(0,E34-F34)*IF(G34&gt;0,H34/G34,COMPAREC_PAD)*IF(I34&gt;0,J34/I34,VALIDOS_PAD))</f>
        <v/>
      </c>
      <c r="S34" s="34">
        <f>IF($A34="",NA(),IF(R34&gt;0,0.5-(K34-L34)/(2*R34),0))</f>
        <v/>
      </c>
      <c r="T34" s="34">
        <f>IF($A34="",NA(),IF(R34&lt;=0,IF(K34&gt;L34,1,IF(K34&lt;L34,0,0.5)),1-NORMDIST(S34,P34+AJUSTE,SIGMA,TRUE)))</f>
        <v/>
      </c>
      <c r="U34" s="34">
        <f>IF($A34="",NA(),1-T34)</f>
        <v/>
      </c>
    </row>
    <row r="35"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N35" s="34">
        <f>IF($A35="",NA(),IF(C35&gt;0,D35/C35,0))</f>
        <v/>
      </c>
      <c r="O35" s="34">
        <f>IF($A35="",NA(),IF(E35&gt;0,F35/E35,0))</f>
        <v/>
      </c>
      <c r="P35" s="34">
        <f>IF($A35="",NA(),IF(K35+L35&gt;0,K35/(K35+L35),0.5))</f>
        <v/>
      </c>
      <c r="Q35" s="34">
        <f>IF($A35="",NA(),1-P35)</f>
        <v/>
      </c>
      <c r="R35" s="33">
        <f>IF($A35="",NA(),MAX(0,E35-F35)*IF(G35&gt;0,H35/G35,COMPAREC_PAD)*IF(I35&gt;0,J35/I35,VALIDOS_PAD))</f>
        <v/>
      </c>
      <c r="S35" s="34">
        <f>IF($A35="",NA(),IF(R35&gt;0,0.5-(K35-L35)/(2*R35),0))</f>
        <v/>
      </c>
      <c r="T35" s="34">
        <f>IF($A35="",NA(),IF(R35&lt;=0,IF(K35&gt;L35,1,IF(K35&lt;L35,0,0.5)),1-NORMDIST(S35,P35+AJUSTE,SIGMA,TRUE)))</f>
        <v/>
      </c>
      <c r="U35" s="34">
        <f>IF($A35="",NA(),1-T35)</f>
        <v/>
      </c>
    </row>
    <row r="36"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N36" s="34">
        <f>IF($A36="",NA(),IF(C36&gt;0,D36/C36,0))</f>
        <v/>
      </c>
      <c r="O36" s="34">
        <f>IF($A36="",NA(),IF(E36&gt;0,F36/E36,0))</f>
        <v/>
      </c>
      <c r="P36" s="34">
        <f>IF($A36="",NA(),IF(K36+L36&gt;0,K36/(K36+L36),0.5))</f>
        <v/>
      </c>
      <c r="Q36" s="34">
        <f>IF($A36="",NA(),1-P36)</f>
        <v/>
      </c>
      <c r="R36" s="33">
        <f>IF($A36="",NA(),MAX(0,E36-F36)*IF(G36&gt;0,H36/G36,COMPAREC_PAD)*IF(I36&gt;0,J36/I36,VALIDOS_PAD))</f>
        <v/>
      </c>
      <c r="S36" s="34">
        <f>IF($A36="",NA(),IF(R36&gt;0,0.5-(K36-L36)/(2*R36),0))</f>
        <v/>
      </c>
      <c r="T36" s="34">
        <f>IF($A36="",NA(),IF(R36&lt;=0,IF(K36&gt;L36,1,IF(K36&lt;L36,0,0.5)),1-NORMDIST(S36,P36+AJUSTE,SIGMA,TRUE)))</f>
        <v/>
      </c>
      <c r="U36" s="34">
        <f>IF($A36="",NA(),1-T36)</f>
        <v/>
      </c>
    </row>
    <row r="37"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N37" s="34">
        <f>IF($A37="",NA(),IF(C37&gt;0,D37/C37,0))</f>
        <v/>
      </c>
      <c r="O37" s="34">
        <f>IF($A37="",NA(),IF(E37&gt;0,F37/E37,0))</f>
        <v/>
      </c>
      <c r="P37" s="34">
        <f>IF($A37="",NA(),IF(K37+L37&gt;0,K37/(K37+L37),0.5))</f>
        <v/>
      </c>
      <c r="Q37" s="34">
        <f>IF($A37="",NA(),1-P37)</f>
        <v/>
      </c>
      <c r="R37" s="33">
        <f>IF($A37="",NA(),MAX(0,E37-F37)*IF(G37&gt;0,H37/G37,COMPAREC_PAD)*IF(I37&gt;0,J37/I37,VALIDOS_PAD))</f>
        <v/>
      </c>
      <c r="S37" s="34">
        <f>IF($A37="",NA(),IF(R37&gt;0,0.5-(K37-L37)/(2*R37),0))</f>
        <v/>
      </c>
      <c r="T37" s="34">
        <f>IF($A37="",NA(),IF(R37&lt;=0,IF(K37&gt;L37,1,IF(K37&lt;L37,0,0.5)),1-NORMDIST(S37,P37+AJUSTE,SIGMA,TRUE)))</f>
        <v/>
      </c>
      <c r="U37" s="34">
        <f>IF($A37="",NA(),1-T37)</f>
        <v/>
      </c>
    </row>
    <row r="38"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N38" s="34">
        <f>IF($A38="",NA(),IF(C38&gt;0,D38/C38,0))</f>
        <v/>
      </c>
      <c r="O38" s="34">
        <f>IF($A38="",NA(),IF(E38&gt;0,F38/E38,0))</f>
        <v/>
      </c>
      <c r="P38" s="34">
        <f>IF($A38="",NA(),IF(K38+L38&gt;0,K38/(K38+L38),0.5))</f>
        <v/>
      </c>
      <c r="Q38" s="34">
        <f>IF($A38="",NA(),1-P38)</f>
        <v/>
      </c>
      <c r="R38" s="33">
        <f>IF($A38="",NA(),MAX(0,E38-F38)*IF(G38&gt;0,H38/G38,COMPAREC_PAD)*IF(I38&gt;0,J38/I38,VALIDOS_PAD))</f>
        <v/>
      </c>
      <c r="S38" s="34">
        <f>IF($A38="",NA(),IF(R38&gt;0,0.5-(K38-L38)/(2*R38),0))</f>
        <v/>
      </c>
      <c r="T38" s="34">
        <f>IF($A38="",NA(),IF(R38&lt;=0,IF(K38&gt;L38,1,IF(K38&lt;L38,0,0.5)),1-NORMDIST(S38,P38+AJUSTE,SIGMA,TRUE)))</f>
        <v/>
      </c>
      <c r="U38" s="34">
        <f>IF($A38="",NA(),1-T38)</f>
        <v/>
      </c>
    </row>
    <row r="39"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N39" s="34">
        <f>IF($A39="",NA(),IF(C39&gt;0,D39/C39,0))</f>
        <v/>
      </c>
      <c r="O39" s="34">
        <f>IF($A39="",NA(),IF(E39&gt;0,F39/E39,0))</f>
        <v/>
      </c>
      <c r="P39" s="34">
        <f>IF($A39="",NA(),IF(K39+L39&gt;0,K39/(K39+L39),0.5))</f>
        <v/>
      </c>
      <c r="Q39" s="34">
        <f>IF($A39="",NA(),1-P39)</f>
        <v/>
      </c>
      <c r="R39" s="33">
        <f>IF($A39="",NA(),MAX(0,E39-F39)*IF(G39&gt;0,H39/G39,COMPAREC_PAD)*IF(I39&gt;0,J39/I39,VALIDOS_PAD))</f>
        <v/>
      </c>
      <c r="S39" s="34">
        <f>IF($A39="",NA(),IF(R39&gt;0,0.5-(K39-L39)/(2*R39),0))</f>
        <v/>
      </c>
      <c r="T39" s="34">
        <f>IF($A39="",NA(),IF(R39&lt;=0,IF(K39&gt;L39,1,IF(K39&lt;L39,0,0.5)),1-NORMDIST(S39,P39+AJUSTE,SIGMA,TRUE)))</f>
        <v/>
      </c>
      <c r="U39" s="34">
        <f>IF($A39="",NA(),1-T39)</f>
        <v/>
      </c>
    </row>
    <row r="40"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N40" s="34">
        <f>IF($A40="",NA(),IF(C40&gt;0,D40/C40,0))</f>
        <v/>
      </c>
      <c r="O40" s="34">
        <f>IF($A40="",NA(),IF(E40&gt;0,F40/E40,0))</f>
        <v/>
      </c>
      <c r="P40" s="34">
        <f>IF($A40="",NA(),IF(K40+L40&gt;0,K40/(K40+L40),0.5))</f>
        <v/>
      </c>
      <c r="Q40" s="34">
        <f>IF($A40="",NA(),1-P40)</f>
        <v/>
      </c>
      <c r="R40" s="33">
        <f>IF($A40="",NA(),MAX(0,E40-F40)*IF(G40&gt;0,H40/G40,COMPAREC_PAD)*IF(I40&gt;0,J40/I40,VALIDOS_PAD))</f>
        <v/>
      </c>
      <c r="S40" s="34">
        <f>IF($A40="",NA(),IF(R40&gt;0,0.5-(K40-L40)/(2*R40),0))</f>
        <v/>
      </c>
      <c r="T40" s="34">
        <f>IF($A40="",NA(),IF(R40&lt;=0,IF(K40&gt;L40,1,IF(K40&lt;L40,0,0.5)),1-NORMDIST(S40,P40+AJUSTE,SIGMA,TRUE)))</f>
        <v/>
      </c>
      <c r="U40" s="34">
        <f>IF($A40="",NA(),1-T40)</f>
        <v/>
      </c>
    </row>
    <row r="41"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N41" s="34">
        <f>IF($A41="",NA(),IF(C41&gt;0,D41/C41,0))</f>
        <v/>
      </c>
      <c r="O41" s="34">
        <f>IF($A41="",NA(),IF(E41&gt;0,F41/E41,0))</f>
        <v/>
      </c>
      <c r="P41" s="34">
        <f>IF($A41="",NA(),IF(K41+L41&gt;0,K41/(K41+L41),0.5))</f>
        <v/>
      </c>
      <c r="Q41" s="34">
        <f>IF($A41="",NA(),1-P41)</f>
        <v/>
      </c>
      <c r="R41" s="33">
        <f>IF($A41="",NA(),MAX(0,E41-F41)*IF(G41&gt;0,H41/G41,COMPAREC_PAD)*IF(I41&gt;0,J41/I41,VALIDOS_PAD))</f>
        <v/>
      </c>
      <c r="S41" s="34">
        <f>IF($A41="",NA(),IF(R41&gt;0,0.5-(K41-L41)/(2*R41),0))</f>
        <v/>
      </c>
      <c r="T41" s="34">
        <f>IF($A41="",NA(),IF(R41&lt;=0,IF(K41&gt;L41,1,IF(K41&lt;L41,0,0.5)),1-NORMDIST(S41,P41+AJUSTE,SIGMA,TRUE)))</f>
        <v/>
      </c>
      <c r="U41" s="34">
        <f>IF($A41="",NA(),1-T41)</f>
        <v/>
      </c>
    </row>
    <row r="42"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N42" s="34">
        <f>IF($A42="",NA(),IF(C42&gt;0,D42/C42,0))</f>
        <v/>
      </c>
      <c r="O42" s="34">
        <f>IF($A42="",NA(),IF(E42&gt;0,F42/E42,0))</f>
        <v/>
      </c>
      <c r="P42" s="34">
        <f>IF($A42="",NA(),IF(K42+L42&gt;0,K42/(K42+L42),0.5))</f>
        <v/>
      </c>
      <c r="Q42" s="34">
        <f>IF($A42="",NA(),1-P42)</f>
        <v/>
      </c>
      <c r="R42" s="33">
        <f>IF($A42="",NA(),MAX(0,E42-F42)*IF(G42&gt;0,H42/G42,COMPAREC_PAD)*IF(I42&gt;0,J42/I42,VALIDOS_PAD))</f>
        <v/>
      </c>
      <c r="S42" s="34">
        <f>IF($A42="",NA(),IF(R42&gt;0,0.5-(K42-L42)/(2*R42),0))</f>
        <v/>
      </c>
      <c r="T42" s="34">
        <f>IF($A42="",NA(),IF(R42&lt;=0,IF(K42&gt;L42,1,IF(K42&lt;L42,0,0.5)),1-NORMDIST(S42,P42+AJUSTE,SIGMA,TRUE)))</f>
        <v/>
      </c>
      <c r="U42" s="34">
        <f>IF($A42="",NA(),1-T42)</f>
        <v/>
      </c>
    </row>
    <row r="43"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N43" s="34">
        <f>IF($A43="",NA(),IF(C43&gt;0,D43/C43,0))</f>
        <v/>
      </c>
      <c r="O43" s="34">
        <f>IF($A43="",NA(),IF(E43&gt;0,F43/E43,0))</f>
        <v/>
      </c>
      <c r="P43" s="34">
        <f>IF($A43="",NA(),IF(K43+L43&gt;0,K43/(K43+L43),0.5))</f>
        <v/>
      </c>
      <c r="Q43" s="34">
        <f>IF($A43="",NA(),1-P43)</f>
        <v/>
      </c>
      <c r="R43" s="33">
        <f>IF($A43="",NA(),MAX(0,E43-F43)*IF(G43&gt;0,H43/G43,COMPAREC_PAD)*IF(I43&gt;0,J43/I43,VALIDOS_PAD))</f>
        <v/>
      </c>
      <c r="S43" s="34">
        <f>IF($A43="",NA(),IF(R43&gt;0,0.5-(K43-L43)/(2*R43),0))</f>
        <v/>
      </c>
      <c r="T43" s="34">
        <f>IF($A43="",NA(),IF(R43&lt;=0,IF(K43&gt;L43,1,IF(K43&lt;L43,0,0.5)),1-NORMDIST(S43,P43+AJUSTE,SIGMA,TRUE)))</f>
        <v/>
      </c>
      <c r="U43" s="34">
        <f>IF($A43="",NA(),1-T43)</f>
        <v/>
      </c>
    </row>
    <row r="44"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N44" s="34">
        <f>IF($A44="",NA(),IF(C44&gt;0,D44/C44,0))</f>
        <v/>
      </c>
      <c r="O44" s="34">
        <f>IF($A44="",NA(),IF(E44&gt;0,F44/E44,0))</f>
        <v/>
      </c>
      <c r="P44" s="34">
        <f>IF($A44="",NA(),IF(K44+L44&gt;0,K44/(K44+L44),0.5))</f>
        <v/>
      </c>
      <c r="Q44" s="34">
        <f>IF($A44="",NA(),1-P44)</f>
        <v/>
      </c>
      <c r="R44" s="33">
        <f>IF($A44="",NA(),MAX(0,E44-F44)*IF(G44&gt;0,H44/G44,COMPAREC_PAD)*IF(I44&gt;0,J44/I44,VALIDOS_PAD))</f>
        <v/>
      </c>
      <c r="S44" s="34">
        <f>IF($A44="",NA(),IF(R44&gt;0,0.5-(K44-L44)/(2*R44),0))</f>
        <v/>
      </c>
      <c r="T44" s="34">
        <f>IF($A44="",NA(),IF(R44&lt;=0,IF(K44&gt;L44,1,IF(K44&lt;L44,0,0.5)),1-NORMDIST(S44,P44+AJUSTE,SIGMA,TRUE)))</f>
        <v/>
      </c>
      <c r="U44" s="34">
        <f>IF($A44="",NA(),1-T44)</f>
        <v/>
      </c>
    </row>
    <row r="45"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N45" s="34">
        <f>IF($A45="",NA(),IF(C45&gt;0,D45/C45,0))</f>
        <v/>
      </c>
      <c r="O45" s="34">
        <f>IF($A45="",NA(),IF(E45&gt;0,F45/E45,0))</f>
        <v/>
      </c>
      <c r="P45" s="34">
        <f>IF($A45="",NA(),IF(K45+L45&gt;0,K45/(K45+L45),0.5))</f>
        <v/>
      </c>
      <c r="Q45" s="34">
        <f>IF($A45="",NA(),1-P45)</f>
        <v/>
      </c>
      <c r="R45" s="33">
        <f>IF($A45="",NA(),MAX(0,E45-F45)*IF(G45&gt;0,H45/G45,COMPAREC_PAD)*IF(I45&gt;0,J45/I45,VALIDOS_PAD))</f>
        <v/>
      </c>
      <c r="S45" s="34">
        <f>IF($A45="",NA(),IF(R45&gt;0,0.5-(K45-L45)/(2*R45),0))</f>
        <v/>
      </c>
      <c r="T45" s="34">
        <f>IF($A45="",NA(),IF(R45&lt;=0,IF(K45&gt;L45,1,IF(K45&lt;L45,0,0.5)),1-NORMDIST(S45,P45+AJUSTE,SIGMA,TRUE)))</f>
        <v/>
      </c>
      <c r="U45" s="34">
        <f>IF($A45="",NA(),1-T45)</f>
        <v/>
      </c>
    </row>
    <row r="46"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N46" s="34">
        <f>IF($A46="",NA(),IF(C46&gt;0,D46/C46,0))</f>
        <v/>
      </c>
      <c r="O46" s="34">
        <f>IF($A46="",NA(),IF(E46&gt;0,F46/E46,0))</f>
        <v/>
      </c>
      <c r="P46" s="34">
        <f>IF($A46="",NA(),IF(K46+L46&gt;0,K46/(K46+L46),0.5))</f>
        <v/>
      </c>
      <c r="Q46" s="34">
        <f>IF($A46="",NA(),1-P46)</f>
        <v/>
      </c>
      <c r="R46" s="33">
        <f>IF($A46="",NA(),MAX(0,E46-F46)*IF(G46&gt;0,H46/G46,COMPAREC_PAD)*IF(I46&gt;0,J46/I46,VALIDOS_PAD))</f>
        <v/>
      </c>
      <c r="S46" s="34">
        <f>IF($A46="",NA(),IF(R46&gt;0,0.5-(K46-L46)/(2*R46),0))</f>
        <v/>
      </c>
      <c r="T46" s="34">
        <f>IF($A46="",NA(),IF(R46&lt;=0,IF(K46&gt;L46,1,IF(K46&lt;L46,0,0.5)),1-NORMDIST(S46,P46+AJUSTE,SIGMA,TRUE)))</f>
        <v/>
      </c>
      <c r="U46" s="34">
        <f>IF($A46="",NA(),1-T46)</f>
        <v/>
      </c>
    </row>
    <row r="47"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N47" s="34">
        <f>IF($A47="",NA(),IF(C47&gt;0,D47/C47,0))</f>
        <v/>
      </c>
      <c r="O47" s="34">
        <f>IF($A47="",NA(),IF(E47&gt;0,F47/E47,0))</f>
        <v/>
      </c>
      <c r="P47" s="34">
        <f>IF($A47="",NA(),IF(K47+L47&gt;0,K47/(K47+L47),0.5))</f>
        <v/>
      </c>
      <c r="Q47" s="34">
        <f>IF($A47="",NA(),1-P47)</f>
        <v/>
      </c>
      <c r="R47" s="33">
        <f>IF($A47="",NA(),MAX(0,E47-F47)*IF(G47&gt;0,H47/G47,COMPAREC_PAD)*IF(I47&gt;0,J47/I47,VALIDOS_PAD))</f>
        <v/>
      </c>
      <c r="S47" s="34">
        <f>IF($A47="",NA(),IF(R47&gt;0,0.5-(K47-L47)/(2*R47),0))</f>
        <v/>
      </c>
      <c r="T47" s="34">
        <f>IF($A47="",NA(),IF(R47&lt;=0,IF(K47&gt;L47,1,IF(K47&lt;L47,0,0.5)),1-NORMDIST(S47,P47+AJUSTE,SIGMA,TRUE)))</f>
        <v/>
      </c>
      <c r="U47" s="34">
        <f>IF($A47="",NA(),1-T47)</f>
        <v/>
      </c>
    </row>
    <row r="48"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N48" s="34">
        <f>IF($A48="",NA(),IF(C48&gt;0,D48/C48,0))</f>
        <v/>
      </c>
      <c r="O48" s="34">
        <f>IF($A48="",NA(),IF(E48&gt;0,F48/E48,0))</f>
        <v/>
      </c>
      <c r="P48" s="34">
        <f>IF($A48="",NA(),IF(K48+L48&gt;0,K48/(K48+L48),0.5))</f>
        <v/>
      </c>
      <c r="Q48" s="34">
        <f>IF($A48="",NA(),1-P48)</f>
        <v/>
      </c>
      <c r="R48" s="33">
        <f>IF($A48="",NA(),MAX(0,E48-F48)*IF(G48&gt;0,H48/G48,COMPAREC_PAD)*IF(I48&gt;0,J48/I48,VALIDOS_PAD))</f>
        <v/>
      </c>
      <c r="S48" s="34">
        <f>IF($A48="",NA(),IF(R48&gt;0,0.5-(K48-L48)/(2*R48),0))</f>
        <v/>
      </c>
      <c r="T48" s="34">
        <f>IF($A48="",NA(),IF(R48&lt;=0,IF(K48&gt;L48,1,IF(K48&lt;L48,0,0.5)),1-NORMDIST(S48,P48+AJUSTE,SIGMA,TRUE)))</f>
        <v/>
      </c>
      <c r="U48" s="34">
        <f>IF($A48="",NA(),1-T48)</f>
        <v/>
      </c>
    </row>
    <row r="49"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N49" s="34">
        <f>IF($A49="",NA(),IF(C49&gt;0,D49/C49,0))</f>
        <v/>
      </c>
      <c r="O49" s="34">
        <f>IF($A49="",NA(),IF(E49&gt;0,F49/E49,0))</f>
        <v/>
      </c>
      <c r="P49" s="34">
        <f>IF($A49="",NA(),IF(K49+L49&gt;0,K49/(K49+L49),0.5))</f>
        <v/>
      </c>
      <c r="Q49" s="34">
        <f>IF($A49="",NA(),1-P49)</f>
        <v/>
      </c>
      <c r="R49" s="33">
        <f>IF($A49="",NA(),MAX(0,E49-F49)*IF(G49&gt;0,H49/G49,COMPAREC_PAD)*IF(I49&gt;0,J49/I49,VALIDOS_PAD))</f>
        <v/>
      </c>
      <c r="S49" s="34">
        <f>IF($A49="",NA(),IF(R49&gt;0,0.5-(K49-L49)/(2*R49),0))</f>
        <v/>
      </c>
      <c r="T49" s="34">
        <f>IF($A49="",NA(),IF(R49&lt;=0,IF(K49&gt;L49,1,IF(K49&lt;L49,0,0.5)),1-NORMDIST(S49,P49+AJUSTE,SIGMA,TRUE)))</f>
        <v/>
      </c>
      <c r="U49" s="34">
        <f>IF($A49="",NA(),1-T49)</f>
        <v/>
      </c>
    </row>
    <row r="50"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N50" s="34">
        <f>IF($A50="",NA(),IF(C50&gt;0,D50/C50,0))</f>
        <v/>
      </c>
      <c r="O50" s="34">
        <f>IF($A50="",NA(),IF(E50&gt;0,F50/E50,0))</f>
        <v/>
      </c>
      <c r="P50" s="34">
        <f>IF($A50="",NA(),IF(K50+L50&gt;0,K50/(K50+L50),0.5))</f>
        <v/>
      </c>
      <c r="Q50" s="34">
        <f>IF($A50="",NA(),1-P50)</f>
        <v/>
      </c>
      <c r="R50" s="33">
        <f>IF($A50="",NA(),MAX(0,E50-F50)*IF(G50&gt;0,H50/G50,COMPAREC_PAD)*IF(I50&gt;0,J50/I50,VALIDOS_PAD))</f>
        <v/>
      </c>
      <c r="S50" s="34">
        <f>IF($A50="",NA(),IF(R50&gt;0,0.5-(K50-L50)/(2*R50),0))</f>
        <v/>
      </c>
      <c r="T50" s="34">
        <f>IF($A50="",NA(),IF(R50&lt;=0,IF(K50&gt;L50,1,IF(K50&lt;L50,0,0.5)),1-NORMDIST(S50,P50+AJUSTE,SIGMA,TRUE)))</f>
        <v/>
      </c>
      <c r="U50" s="34">
        <f>IF($A50="",NA(),1-T50)</f>
        <v/>
      </c>
    </row>
    <row r="51"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N51" s="34">
        <f>IF($A51="",NA(),IF(C51&gt;0,D51/C51,0))</f>
        <v/>
      </c>
      <c r="O51" s="34">
        <f>IF($A51="",NA(),IF(E51&gt;0,F51/E51,0))</f>
        <v/>
      </c>
      <c r="P51" s="34">
        <f>IF($A51="",NA(),IF(K51+L51&gt;0,K51/(K51+L51),0.5))</f>
        <v/>
      </c>
      <c r="Q51" s="34">
        <f>IF($A51="",NA(),1-P51)</f>
        <v/>
      </c>
      <c r="R51" s="33">
        <f>IF($A51="",NA(),MAX(0,E51-F51)*IF(G51&gt;0,H51/G51,COMPAREC_PAD)*IF(I51&gt;0,J51/I51,VALIDOS_PAD))</f>
        <v/>
      </c>
      <c r="S51" s="34">
        <f>IF($A51="",NA(),IF(R51&gt;0,0.5-(K51-L51)/(2*R51),0))</f>
        <v/>
      </c>
      <c r="T51" s="34">
        <f>IF($A51="",NA(),IF(R51&lt;=0,IF(K51&gt;L51,1,IF(K51&lt;L51,0,0.5)),1-NORMDIST(S51,P51+AJUSTE,SIGMA,TRUE)))</f>
        <v/>
      </c>
      <c r="U51" s="34">
        <f>IF($A51="",NA(),1-T51)</f>
        <v/>
      </c>
    </row>
    <row r="52"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N52" s="34">
        <f>IF($A52="",NA(),IF(C52&gt;0,D52/C52,0))</f>
        <v/>
      </c>
      <c r="O52" s="34">
        <f>IF($A52="",NA(),IF(E52&gt;0,F52/E52,0))</f>
        <v/>
      </c>
      <c r="P52" s="34">
        <f>IF($A52="",NA(),IF(K52+L52&gt;0,K52/(K52+L52),0.5))</f>
        <v/>
      </c>
      <c r="Q52" s="34">
        <f>IF($A52="",NA(),1-P52)</f>
        <v/>
      </c>
      <c r="R52" s="33">
        <f>IF($A52="",NA(),MAX(0,E52-F52)*IF(G52&gt;0,H52/G52,COMPAREC_PAD)*IF(I52&gt;0,J52/I52,VALIDOS_PAD))</f>
        <v/>
      </c>
      <c r="S52" s="34">
        <f>IF($A52="",NA(),IF(R52&gt;0,0.5-(K52-L52)/(2*R52),0))</f>
        <v/>
      </c>
      <c r="T52" s="34">
        <f>IF($A52="",NA(),IF(R52&lt;=0,IF(K52&gt;L52,1,IF(K52&lt;L52,0,0.5)),1-NORMDIST(S52,P52+AJUSTE,SIGMA,TRUE)))</f>
        <v/>
      </c>
      <c r="U52" s="34">
        <f>IF($A52="",NA(),1-T52)</f>
        <v/>
      </c>
    </row>
    <row r="53"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N53" s="34">
        <f>IF($A53="",NA(),IF(C53&gt;0,D53/C53,0))</f>
        <v/>
      </c>
      <c r="O53" s="34">
        <f>IF($A53="",NA(),IF(E53&gt;0,F53/E53,0))</f>
        <v/>
      </c>
      <c r="P53" s="34">
        <f>IF($A53="",NA(),IF(K53+L53&gt;0,K53/(K53+L53),0.5))</f>
        <v/>
      </c>
      <c r="Q53" s="34">
        <f>IF($A53="",NA(),1-P53)</f>
        <v/>
      </c>
      <c r="R53" s="33">
        <f>IF($A53="",NA(),MAX(0,E53-F53)*IF(G53&gt;0,H53/G53,COMPAREC_PAD)*IF(I53&gt;0,J53/I53,VALIDOS_PAD))</f>
        <v/>
      </c>
      <c r="S53" s="34">
        <f>IF($A53="",NA(),IF(R53&gt;0,0.5-(K53-L53)/(2*R53),0))</f>
        <v/>
      </c>
      <c r="T53" s="34">
        <f>IF($A53="",NA(),IF(R53&lt;=0,IF(K53&gt;L53,1,IF(K53&lt;L53,0,0.5)),1-NORMDIST(S53,P53+AJUSTE,SIGMA,TRUE)))</f>
        <v/>
      </c>
      <c r="U53" s="34">
        <f>IF($A53="",NA(),1-T53)</f>
        <v/>
      </c>
    </row>
    <row r="54"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N54" s="34">
        <f>IF($A54="",NA(),IF(C54&gt;0,D54/C54,0))</f>
        <v/>
      </c>
      <c r="O54" s="34">
        <f>IF($A54="",NA(),IF(E54&gt;0,F54/E54,0))</f>
        <v/>
      </c>
      <c r="P54" s="34">
        <f>IF($A54="",NA(),IF(K54+L54&gt;0,K54/(K54+L54),0.5))</f>
        <v/>
      </c>
      <c r="Q54" s="34">
        <f>IF($A54="",NA(),1-P54)</f>
        <v/>
      </c>
      <c r="R54" s="33">
        <f>IF($A54="",NA(),MAX(0,E54-F54)*IF(G54&gt;0,H54/G54,COMPAREC_PAD)*IF(I54&gt;0,J54/I54,VALIDOS_PAD))</f>
        <v/>
      </c>
      <c r="S54" s="34">
        <f>IF($A54="",NA(),IF(R54&gt;0,0.5-(K54-L54)/(2*R54),0))</f>
        <v/>
      </c>
      <c r="T54" s="34">
        <f>IF($A54="",NA(),IF(R54&lt;=0,IF(K54&gt;L54,1,IF(K54&lt;L54,0,0.5)),1-NORMDIST(S54,P54+AJUSTE,SIGMA,TRUE)))</f>
        <v/>
      </c>
      <c r="U54" s="34">
        <f>IF($A54="",NA(),1-T54)</f>
        <v/>
      </c>
    </row>
    <row r="55"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N55" s="34">
        <f>IF($A55="",NA(),IF(C55&gt;0,D55/C55,0))</f>
        <v/>
      </c>
      <c r="O55" s="34">
        <f>IF($A55="",NA(),IF(E55&gt;0,F55/E55,0))</f>
        <v/>
      </c>
      <c r="P55" s="34">
        <f>IF($A55="",NA(),IF(K55+L55&gt;0,K55/(K55+L55),0.5))</f>
        <v/>
      </c>
      <c r="Q55" s="34">
        <f>IF($A55="",NA(),1-P55)</f>
        <v/>
      </c>
      <c r="R55" s="33">
        <f>IF($A55="",NA(),MAX(0,E55-F55)*IF(G55&gt;0,H55/G55,COMPAREC_PAD)*IF(I55&gt;0,J55/I55,VALIDOS_PAD))</f>
        <v/>
      </c>
      <c r="S55" s="34">
        <f>IF($A55="",NA(),IF(R55&gt;0,0.5-(K55-L55)/(2*R55),0))</f>
        <v/>
      </c>
      <c r="T55" s="34">
        <f>IF($A55="",NA(),IF(R55&lt;=0,IF(K55&gt;L55,1,IF(K55&lt;L55,0,0.5)),1-NORMDIST(S55,P55+AJUSTE,SIGMA,TRUE)))</f>
        <v/>
      </c>
      <c r="U55" s="34">
        <f>IF($A55="",NA(),1-T55)</f>
        <v/>
      </c>
    </row>
    <row r="56"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N56" s="34">
        <f>IF($A56="",NA(),IF(C56&gt;0,D56/C56,0))</f>
        <v/>
      </c>
      <c r="O56" s="34">
        <f>IF($A56="",NA(),IF(E56&gt;0,F56/E56,0))</f>
        <v/>
      </c>
      <c r="P56" s="34">
        <f>IF($A56="",NA(),IF(K56+L56&gt;0,K56/(K56+L56),0.5))</f>
        <v/>
      </c>
      <c r="Q56" s="34">
        <f>IF($A56="",NA(),1-P56)</f>
        <v/>
      </c>
      <c r="R56" s="33">
        <f>IF($A56="",NA(),MAX(0,E56-F56)*IF(G56&gt;0,H56/G56,COMPAREC_PAD)*IF(I56&gt;0,J56/I56,VALIDOS_PAD))</f>
        <v/>
      </c>
      <c r="S56" s="34">
        <f>IF($A56="",NA(),IF(R56&gt;0,0.5-(K56-L56)/(2*R56),0))</f>
        <v/>
      </c>
      <c r="T56" s="34">
        <f>IF($A56="",NA(),IF(R56&lt;=0,IF(K56&gt;L56,1,IF(K56&lt;L56,0,0.5)),1-NORMDIST(S56,P56+AJUSTE,SIGMA,TRUE)))</f>
        <v/>
      </c>
      <c r="U56" s="34">
        <f>IF($A56="",NA(),1-T56)</f>
        <v/>
      </c>
    </row>
    <row r="57"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N57" s="34">
        <f>IF($A57="",NA(),IF(C57&gt;0,D57/C57,0))</f>
        <v/>
      </c>
      <c r="O57" s="34">
        <f>IF($A57="",NA(),IF(E57&gt;0,F57/E57,0))</f>
        <v/>
      </c>
      <c r="P57" s="34">
        <f>IF($A57="",NA(),IF(K57+L57&gt;0,K57/(K57+L57),0.5))</f>
        <v/>
      </c>
      <c r="Q57" s="34">
        <f>IF($A57="",NA(),1-P57)</f>
        <v/>
      </c>
      <c r="R57" s="33">
        <f>IF($A57="",NA(),MAX(0,E57-F57)*IF(G57&gt;0,H57/G57,COMPAREC_PAD)*IF(I57&gt;0,J57/I57,VALIDOS_PAD))</f>
        <v/>
      </c>
      <c r="S57" s="34">
        <f>IF($A57="",NA(),IF(R57&gt;0,0.5-(K57-L57)/(2*R57),0))</f>
        <v/>
      </c>
      <c r="T57" s="34">
        <f>IF($A57="",NA(),IF(R57&lt;=0,IF(K57&gt;L57,1,IF(K57&lt;L57,0,0.5)),1-NORMDIST(S57,P57+AJUSTE,SIGMA,TRUE)))</f>
        <v/>
      </c>
      <c r="U57" s="34">
        <f>IF($A57="",NA(),1-T57)</f>
        <v/>
      </c>
    </row>
    <row r="58"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N58" s="34">
        <f>IF($A58="",NA(),IF(C58&gt;0,D58/C58,0))</f>
        <v/>
      </c>
      <c r="O58" s="34">
        <f>IF($A58="",NA(),IF(E58&gt;0,F58/E58,0))</f>
        <v/>
      </c>
      <c r="P58" s="34">
        <f>IF($A58="",NA(),IF(K58+L58&gt;0,K58/(K58+L58),0.5))</f>
        <v/>
      </c>
      <c r="Q58" s="34">
        <f>IF($A58="",NA(),1-P58)</f>
        <v/>
      </c>
      <c r="R58" s="33">
        <f>IF($A58="",NA(),MAX(0,E58-F58)*IF(G58&gt;0,H58/G58,COMPAREC_PAD)*IF(I58&gt;0,J58/I58,VALIDOS_PAD))</f>
        <v/>
      </c>
      <c r="S58" s="34">
        <f>IF($A58="",NA(),IF(R58&gt;0,0.5-(K58-L58)/(2*R58),0))</f>
        <v/>
      </c>
      <c r="T58" s="34">
        <f>IF($A58="",NA(),IF(R58&lt;=0,IF(K58&gt;L58,1,IF(K58&lt;L58,0,0.5)),1-NORMDIST(S58,P58+AJUSTE,SIGMA,TRUE)))</f>
        <v/>
      </c>
      <c r="U58" s="34">
        <f>IF($A58="",NA(),1-T58)</f>
        <v/>
      </c>
    </row>
    <row r="59"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N59" s="34">
        <f>IF($A59="",NA(),IF(C59&gt;0,D59/C59,0))</f>
        <v/>
      </c>
      <c r="O59" s="34">
        <f>IF($A59="",NA(),IF(E59&gt;0,F59/E59,0))</f>
        <v/>
      </c>
      <c r="P59" s="34">
        <f>IF($A59="",NA(),IF(K59+L59&gt;0,K59/(K59+L59),0.5))</f>
        <v/>
      </c>
      <c r="Q59" s="34">
        <f>IF($A59="",NA(),1-P59)</f>
        <v/>
      </c>
      <c r="R59" s="33">
        <f>IF($A59="",NA(),MAX(0,E59-F59)*IF(G59&gt;0,H59/G59,COMPAREC_PAD)*IF(I59&gt;0,J59/I59,VALIDOS_PAD))</f>
        <v/>
      </c>
      <c r="S59" s="34">
        <f>IF($A59="",NA(),IF(R59&gt;0,0.5-(K59-L59)/(2*R59),0))</f>
        <v/>
      </c>
      <c r="T59" s="34">
        <f>IF($A59="",NA(),IF(R59&lt;=0,IF(K59&gt;L59,1,IF(K59&lt;L59,0,0.5)),1-NORMDIST(S59,P59+AJUSTE,SIGMA,TRUE)))</f>
        <v/>
      </c>
      <c r="U59" s="34">
        <f>IF($A59="",NA(),1-T59)</f>
        <v/>
      </c>
    </row>
    <row r="60"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N60" s="34">
        <f>IF($A60="",NA(),IF(C60&gt;0,D60/C60,0))</f>
        <v/>
      </c>
      <c r="O60" s="34">
        <f>IF($A60="",NA(),IF(E60&gt;0,F60/E60,0))</f>
        <v/>
      </c>
      <c r="P60" s="34">
        <f>IF($A60="",NA(),IF(K60+L60&gt;0,K60/(K60+L60),0.5))</f>
        <v/>
      </c>
      <c r="Q60" s="34">
        <f>IF($A60="",NA(),1-P60)</f>
        <v/>
      </c>
      <c r="R60" s="33">
        <f>IF($A60="",NA(),MAX(0,E60-F60)*IF(G60&gt;0,H60/G60,COMPAREC_PAD)*IF(I60&gt;0,J60/I60,VALIDOS_PAD))</f>
        <v/>
      </c>
      <c r="S60" s="34">
        <f>IF($A60="",NA(),IF(R60&gt;0,0.5-(K60-L60)/(2*R60),0))</f>
        <v/>
      </c>
      <c r="T60" s="34">
        <f>IF($A60="",NA(),IF(R60&lt;=0,IF(K60&gt;L60,1,IF(K60&lt;L60,0,0.5)),1-NORMDIST(S60,P60+AJUSTE,SIGMA,TRUE)))</f>
        <v/>
      </c>
      <c r="U60" s="34">
        <f>IF($A60="",NA(),1-T60)</f>
        <v/>
      </c>
    </row>
    <row r="61"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N61" s="34">
        <f>IF($A61="",NA(),IF(C61&gt;0,D61/C61,0))</f>
        <v/>
      </c>
      <c r="O61" s="34">
        <f>IF($A61="",NA(),IF(E61&gt;0,F61/E61,0))</f>
        <v/>
      </c>
      <c r="P61" s="34">
        <f>IF($A61="",NA(),IF(K61+L61&gt;0,K61/(K61+L61),0.5))</f>
        <v/>
      </c>
      <c r="Q61" s="34">
        <f>IF($A61="",NA(),1-P61)</f>
        <v/>
      </c>
      <c r="R61" s="33">
        <f>IF($A61="",NA(),MAX(0,E61-F61)*IF(G61&gt;0,H61/G61,COMPAREC_PAD)*IF(I61&gt;0,J61/I61,VALIDOS_PAD))</f>
        <v/>
      </c>
      <c r="S61" s="34">
        <f>IF($A61="",NA(),IF(R61&gt;0,0.5-(K61-L61)/(2*R61),0))</f>
        <v/>
      </c>
      <c r="T61" s="34">
        <f>IF($A61="",NA(),IF(R61&lt;=0,IF(K61&gt;L61,1,IF(K61&lt;L61,0,0.5)),1-NORMDIST(S61,P61+AJUSTE,SIGMA,TRUE)))</f>
        <v/>
      </c>
      <c r="U61" s="34">
        <f>IF($A61="",NA(),1-T61)</f>
        <v/>
      </c>
    </row>
    <row r="62"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N62" s="34">
        <f>IF($A62="",NA(),IF(C62&gt;0,D62/C62,0))</f>
        <v/>
      </c>
      <c r="O62" s="34">
        <f>IF($A62="",NA(),IF(E62&gt;0,F62/E62,0))</f>
        <v/>
      </c>
      <c r="P62" s="34">
        <f>IF($A62="",NA(),IF(K62+L62&gt;0,K62/(K62+L62),0.5))</f>
        <v/>
      </c>
      <c r="Q62" s="34">
        <f>IF($A62="",NA(),1-P62)</f>
        <v/>
      </c>
      <c r="R62" s="33">
        <f>IF($A62="",NA(),MAX(0,E62-F62)*IF(G62&gt;0,H62/G62,COMPAREC_PAD)*IF(I62&gt;0,J62/I62,VALIDOS_PAD))</f>
        <v/>
      </c>
      <c r="S62" s="34">
        <f>IF($A62="",NA(),IF(R62&gt;0,0.5-(K62-L62)/(2*R62),0))</f>
        <v/>
      </c>
      <c r="T62" s="34">
        <f>IF($A62="",NA(),IF(R62&lt;=0,IF(K62&gt;L62,1,IF(K62&lt;L62,0,0.5)),1-NORMDIST(S62,P62+AJUSTE,SIGMA,TRUE)))</f>
        <v/>
      </c>
      <c r="U62" s="34">
        <f>IF($A62="",NA(),1-T62)</f>
        <v/>
      </c>
    </row>
    <row r="63"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N63" s="34">
        <f>IF($A63="",NA(),IF(C63&gt;0,D63/C63,0))</f>
        <v/>
      </c>
      <c r="O63" s="34">
        <f>IF($A63="",NA(),IF(E63&gt;0,F63/E63,0))</f>
        <v/>
      </c>
      <c r="P63" s="34">
        <f>IF($A63="",NA(),IF(K63+L63&gt;0,K63/(K63+L63),0.5))</f>
        <v/>
      </c>
      <c r="Q63" s="34">
        <f>IF($A63="",NA(),1-P63)</f>
        <v/>
      </c>
      <c r="R63" s="33">
        <f>IF($A63="",NA(),MAX(0,E63-F63)*IF(G63&gt;0,H63/G63,COMPAREC_PAD)*IF(I63&gt;0,J63/I63,VALIDOS_PAD))</f>
        <v/>
      </c>
      <c r="S63" s="34">
        <f>IF($A63="",NA(),IF(R63&gt;0,0.5-(K63-L63)/(2*R63),0))</f>
        <v/>
      </c>
      <c r="T63" s="34">
        <f>IF($A63="",NA(),IF(R63&lt;=0,IF(K63&gt;L63,1,IF(K63&lt;L63,0,0.5)),1-NORMDIST(S63,P63+AJUSTE,SIGMA,TRUE)))</f>
        <v/>
      </c>
      <c r="U63" s="34">
        <f>IF($A63="",NA(),1-T63)</f>
        <v/>
      </c>
    </row>
    <row r="64"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N64" s="34">
        <f>IF($A64="",NA(),IF(C64&gt;0,D64/C64,0))</f>
        <v/>
      </c>
      <c r="O64" s="34">
        <f>IF($A64="",NA(),IF(E64&gt;0,F64/E64,0))</f>
        <v/>
      </c>
      <c r="P64" s="34">
        <f>IF($A64="",NA(),IF(K64+L64&gt;0,K64/(K64+L64),0.5))</f>
        <v/>
      </c>
      <c r="Q64" s="34">
        <f>IF($A64="",NA(),1-P64)</f>
        <v/>
      </c>
      <c r="R64" s="33">
        <f>IF($A64="",NA(),MAX(0,E64-F64)*IF(G64&gt;0,H64/G64,COMPAREC_PAD)*IF(I64&gt;0,J64/I64,VALIDOS_PAD))</f>
        <v/>
      </c>
      <c r="S64" s="34">
        <f>IF($A64="",NA(),IF(R64&gt;0,0.5-(K64-L64)/(2*R64),0))</f>
        <v/>
      </c>
      <c r="T64" s="34">
        <f>IF($A64="",NA(),IF(R64&lt;=0,IF(K64&gt;L64,1,IF(K64&lt;L64,0,0.5)),1-NORMDIST(S64,P64+AJUSTE,SIGMA,TRUE)))</f>
        <v/>
      </c>
      <c r="U64" s="34">
        <f>IF($A64="",NA(),1-T64)</f>
        <v/>
      </c>
    </row>
    <row r="65"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N65" s="34">
        <f>IF($A65="",NA(),IF(C65&gt;0,D65/C65,0))</f>
        <v/>
      </c>
      <c r="O65" s="34">
        <f>IF($A65="",NA(),IF(E65&gt;0,F65/E65,0))</f>
        <v/>
      </c>
      <c r="P65" s="34">
        <f>IF($A65="",NA(),IF(K65+L65&gt;0,K65/(K65+L65),0.5))</f>
        <v/>
      </c>
      <c r="Q65" s="34">
        <f>IF($A65="",NA(),1-P65)</f>
        <v/>
      </c>
      <c r="R65" s="33">
        <f>IF($A65="",NA(),MAX(0,E65-F65)*IF(G65&gt;0,H65/G65,COMPAREC_PAD)*IF(I65&gt;0,J65/I65,VALIDOS_PAD))</f>
        <v/>
      </c>
      <c r="S65" s="34">
        <f>IF($A65="",NA(),IF(R65&gt;0,0.5-(K65-L65)/(2*R65),0))</f>
        <v/>
      </c>
      <c r="T65" s="34">
        <f>IF($A65="",NA(),IF(R65&lt;=0,IF(K65&gt;L65,1,IF(K65&lt;L65,0,0.5)),1-NORMDIST(S65,P65+AJUSTE,SIGMA,TRUE)))</f>
        <v/>
      </c>
      <c r="U65" s="34">
        <f>IF($A65="",NA(),1-T65)</f>
        <v/>
      </c>
    </row>
    <row r="66"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N66" s="34">
        <f>IF($A66="",NA(),IF(C66&gt;0,D66/C66,0))</f>
        <v/>
      </c>
      <c r="O66" s="34">
        <f>IF($A66="",NA(),IF(E66&gt;0,F66/E66,0))</f>
        <v/>
      </c>
      <c r="P66" s="34">
        <f>IF($A66="",NA(),IF(K66+L66&gt;0,K66/(K66+L66),0.5))</f>
        <v/>
      </c>
      <c r="Q66" s="34">
        <f>IF($A66="",NA(),1-P66)</f>
        <v/>
      </c>
      <c r="R66" s="33">
        <f>IF($A66="",NA(),MAX(0,E66-F66)*IF(G66&gt;0,H66/G66,COMPAREC_PAD)*IF(I66&gt;0,J66/I66,VALIDOS_PAD))</f>
        <v/>
      </c>
      <c r="S66" s="34">
        <f>IF($A66="",NA(),IF(R66&gt;0,0.5-(K66-L66)/(2*R66),0))</f>
        <v/>
      </c>
      <c r="T66" s="34">
        <f>IF($A66="",NA(),IF(R66&lt;=0,IF(K66&gt;L66,1,IF(K66&lt;L66,0,0.5)),1-NORMDIST(S66,P66+AJUSTE,SIGMA,TRUE)))</f>
        <v/>
      </c>
      <c r="U66" s="34">
        <f>IF($A66="",NA(),1-T66)</f>
        <v/>
      </c>
    </row>
    <row r="67"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N67" s="34">
        <f>IF($A67="",NA(),IF(C67&gt;0,D67/C67,0))</f>
        <v/>
      </c>
      <c r="O67" s="34">
        <f>IF($A67="",NA(),IF(E67&gt;0,F67/E67,0))</f>
        <v/>
      </c>
      <c r="P67" s="34">
        <f>IF($A67="",NA(),IF(K67+L67&gt;0,K67/(K67+L67),0.5))</f>
        <v/>
      </c>
      <c r="Q67" s="34">
        <f>IF($A67="",NA(),1-P67)</f>
        <v/>
      </c>
      <c r="R67" s="33">
        <f>IF($A67="",NA(),MAX(0,E67-F67)*IF(G67&gt;0,H67/G67,COMPAREC_PAD)*IF(I67&gt;0,J67/I67,VALIDOS_PAD))</f>
        <v/>
      </c>
      <c r="S67" s="34">
        <f>IF($A67="",NA(),IF(R67&gt;0,0.5-(K67-L67)/(2*R67),0))</f>
        <v/>
      </c>
      <c r="T67" s="34">
        <f>IF($A67="",NA(),IF(R67&lt;=0,IF(K67&gt;L67,1,IF(K67&lt;L67,0,0.5)),1-NORMDIST(S67,P67+AJUSTE,SIGMA,TRUE)))</f>
        <v/>
      </c>
      <c r="U67" s="34">
        <f>IF($A67="",NA(),1-T67)</f>
        <v/>
      </c>
    </row>
    <row r="68"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N68" s="34">
        <f>IF($A68="",NA(),IF(C68&gt;0,D68/C68,0))</f>
        <v/>
      </c>
      <c r="O68" s="34">
        <f>IF($A68="",NA(),IF(E68&gt;0,F68/E68,0))</f>
        <v/>
      </c>
      <c r="P68" s="34">
        <f>IF($A68="",NA(),IF(K68+L68&gt;0,K68/(K68+L68),0.5))</f>
        <v/>
      </c>
      <c r="Q68" s="34">
        <f>IF($A68="",NA(),1-P68)</f>
        <v/>
      </c>
      <c r="R68" s="33">
        <f>IF($A68="",NA(),MAX(0,E68-F68)*IF(G68&gt;0,H68/G68,COMPAREC_PAD)*IF(I68&gt;0,J68/I68,VALIDOS_PAD))</f>
        <v/>
      </c>
      <c r="S68" s="34">
        <f>IF($A68="",NA(),IF(R68&gt;0,0.5-(K68-L68)/(2*R68),0))</f>
        <v/>
      </c>
      <c r="T68" s="34">
        <f>IF($A68="",NA(),IF(R68&lt;=0,IF(K68&gt;L68,1,IF(K68&lt;L68,0,0.5)),1-NORMDIST(S68,P68+AJUSTE,SIGMA,TRUE)))</f>
        <v/>
      </c>
      <c r="U68" s="34">
        <f>IF($A68="",NA(),1-T68)</f>
        <v/>
      </c>
    </row>
    <row r="69"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N69" s="34">
        <f>IF($A69="",NA(),IF(C69&gt;0,D69/C69,0))</f>
        <v/>
      </c>
      <c r="O69" s="34">
        <f>IF($A69="",NA(),IF(E69&gt;0,F69/E69,0))</f>
        <v/>
      </c>
      <c r="P69" s="34">
        <f>IF($A69="",NA(),IF(K69+L69&gt;0,K69/(K69+L69),0.5))</f>
        <v/>
      </c>
      <c r="Q69" s="34">
        <f>IF($A69="",NA(),1-P69)</f>
        <v/>
      </c>
      <c r="R69" s="33">
        <f>IF($A69="",NA(),MAX(0,E69-F69)*IF(G69&gt;0,H69/G69,COMPAREC_PAD)*IF(I69&gt;0,J69/I69,VALIDOS_PAD))</f>
        <v/>
      </c>
      <c r="S69" s="34">
        <f>IF($A69="",NA(),IF(R69&gt;0,0.5-(K69-L69)/(2*R69),0))</f>
        <v/>
      </c>
      <c r="T69" s="34">
        <f>IF($A69="",NA(),IF(R69&lt;=0,IF(K69&gt;L69,1,IF(K69&lt;L69,0,0.5)),1-NORMDIST(S69,P69+AJUSTE,SIGMA,TRUE)))</f>
        <v/>
      </c>
      <c r="U69" s="34">
        <f>IF($A69="",NA(),1-T69)</f>
        <v/>
      </c>
    </row>
    <row r="70"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N70" s="34">
        <f>IF($A70="",NA(),IF(C70&gt;0,D70/C70,0))</f>
        <v/>
      </c>
      <c r="O70" s="34">
        <f>IF($A70="",NA(),IF(E70&gt;0,F70/E70,0))</f>
        <v/>
      </c>
      <c r="P70" s="34">
        <f>IF($A70="",NA(),IF(K70+L70&gt;0,K70/(K70+L70),0.5))</f>
        <v/>
      </c>
      <c r="Q70" s="34">
        <f>IF($A70="",NA(),1-P70)</f>
        <v/>
      </c>
      <c r="R70" s="33">
        <f>IF($A70="",NA(),MAX(0,E70-F70)*IF(G70&gt;0,H70/G70,COMPAREC_PAD)*IF(I70&gt;0,J70/I70,VALIDOS_PAD))</f>
        <v/>
      </c>
      <c r="S70" s="34">
        <f>IF($A70="",NA(),IF(R70&gt;0,0.5-(K70-L70)/(2*R70),0))</f>
        <v/>
      </c>
      <c r="T70" s="34">
        <f>IF($A70="",NA(),IF(R70&lt;=0,IF(K70&gt;L70,1,IF(K70&lt;L70,0,0.5)),1-NORMDIST(S70,P70+AJUSTE,SIGMA,TRUE)))</f>
        <v/>
      </c>
      <c r="U70" s="34">
        <f>IF($A70="",NA(),1-T70)</f>
        <v/>
      </c>
    </row>
    <row r="71"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N71" s="34">
        <f>IF($A71="",NA(),IF(C71&gt;0,D71/C71,0))</f>
        <v/>
      </c>
      <c r="O71" s="34">
        <f>IF($A71="",NA(),IF(E71&gt;0,F71/E71,0))</f>
        <v/>
      </c>
      <c r="P71" s="34">
        <f>IF($A71="",NA(),IF(K71+L71&gt;0,K71/(K71+L71),0.5))</f>
        <v/>
      </c>
      <c r="Q71" s="34">
        <f>IF($A71="",NA(),1-P71)</f>
        <v/>
      </c>
      <c r="R71" s="33">
        <f>IF($A71="",NA(),MAX(0,E71-F71)*IF(G71&gt;0,H71/G71,COMPAREC_PAD)*IF(I71&gt;0,J71/I71,VALIDOS_PAD))</f>
        <v/>
      </c>
      <c r="S71" s="34">
        <f>IF($A71="",NA(),IF(R71&gt;0,0.5-(K71-L71)/(2*R71),0))</f>
        <v/>
      </c>
      <c r="T71" s="34">
        <f>IF($A71="",NA(),IF(R71&lt;=0,IF(K71&gt;L71,1,IF(K71&lt;L71,0,0.5)),1-NORMDIST(S71,P71+AJUSTE,SIGMA,TRUE)))</f>
        <v/>
      </c>
      <c r="U71" s="34">
        <f>IF($A71="",NA(),1-T71)</f>
        <v/>
      </c>
    </row>
    <row r="72"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N72" s="34">
        <f>IF($A72="",NA(),IF(C72&gt;0,D72/C72,0))</f>
        <v/>
      </c>
      <c r="O72" s="34">
        <f>IF($A72="",NA(),IF(E72&gt;0,F72/E72,0))</f>
        <v/>
      </c>
      <c r="P72" s="34">
        <f>IF($A72="",NA(),IF(K72+L72&gt;0,K72/(K72+L72),0.5))</f>
        <v/>
      </c>
      <c r="Q72" s="34">
        <f>IF($A72="",NA(),1-P72)</f>
        <v/>
      </c>
      <c r="R72" s="33">
        <f>IF($A72="",NA(),MAX(0,E72-F72)*IF(G72&gt;0,H72/G72,COMPAREC_PAD)*IF(I72&gt;0,J72/I72,VALIDOS_PAD))</f>
        <v/>
      </c>
      <c r="S72" s="34">
        <f>IF($A72="",NA(),IF(R72&gt;0,0.5-(K72-L72)/(2*R72),0))</f>
        <v/>
      </c>
      <c r="T72" s="34">
        <f>IF($A72="",NA(),IF(R72&lt;=0,IF(K72&gt;L72,1,IF(K72&lt;L72,0,0.5)),1-NORMDIST(S72,P72+AJUSTE,SIGMA,TRUE)))</f>
        <v/>
      </c>
      <c r="U72" s="34">
        <f>IF($A72="",NA(),1-T72)</f>
        <v/>
      </c>
    </row>
    <row r="73"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N73" s="34">
        <f>IF($A73="",NA(),IF(C73&gt;0,D73/C73,0))</f>
        <v/>
      </c>
      <c r="O73" s="34">
        <f>IF($A73="",NA(),IF(E73&gt;0,F73/E73,0))</f>
        <v/>
      </c>
      <c r="P73" s="34">
        <f>IF($A73="",NA(),IF(K73+L73&gt;0,K73/(K73+L73),0.5))</f>
        <v/>
      </c>
      <c r="Q73" s="34">
        <f>IF($A73="",NA(),1-P73)</f>
        <v/>
      </c>
      <c r="R73" s="33">
        <f>IF($A73="",NA(),MAX(0,E73-F73)*IF(G73&gt;0,H73/G73,COMPAREC_PAD)*IF(I73&gt;0,J73/I73,VALIDOS_PAD))</f>
        <v/>
      </c>
      <c r="S73" s="34">
        <f>IF($A73="",NA(),IF(R73&gt;0,0.5-(K73-L73)/(2*R73),0))</f>
        <v/>
      </c>
      <c r="T73" s="34">
        <f>IF($A73="",NA(),IF(R73&lt;=0,IF(K73&gt;L73,1,IF(K73&lt;L73,0,0.5)),1-NORMDIST(S73,P73+AJUSTE,SIGMA,TRUE)))</f>
        <v/>
      </c>
      <c r="U73" s="34">
        <f>IF($A73="",NA(),1-T73)</f>
        <v/>
      </c>
    </row>
    <row r="74"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N74" s="34">
        <f>IF($A74="",NA(),IF(C74&gt;0,D74/C74,0))</f>
        <v/>
      </c>
      <c r="O74" s="34">
        <f>IF($A74="",NA(),IF(E74&gt;0,F74/E74,0))</f>
        <v/>
      </c>
      <c r="P74" s="34">
        <f>IF($A74="",NA(),IF(K74+L74&gt;0,K74/(K74+L74),0.5))</f>
        <v/>
      </c>
      <c r="Q74" s="34">
        <f>IF($A74="",NA(),1-P74)</f>
        <v/>
      </c>
      <c r="R74" s="33">
        <f>IF($A74="",NA(),MAX(0,E74-F74)*IF(G74&gt;0,H74/G74,COMPAREC_PAD)*IF(I74&gt;0,J74/I74,VALIDOS_PAD))</f>
        <v/>
      </c>
      <c r="S74" s="34">
        <f>IF($A74="",NA(),IF(R74&gt;0,0.5-(K74-L74)/(2*R74),0))</f>
        <v/>
      </c>
      <c r="T74" s="34">
        <f>IF($A74="",NA(),IF(R74&lt;=0,IF(K74&gt;L74,1,IF(K74&lt;L74,0,0.5)),1-NORMDIST(S74,P74+AJUSTE,SIGMA,TRUE)))</f>
        <v/>
      </c>
      <c r="U74" s="34">
        <f>IF($A74="",NA(),1-T74)</f>
        <v/>
      </c>
    </row>
    <row r="75"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N75" s="34">
        <f>IF($A75="",NA(),IF(C75&gt;0,D75/C75,0))</f>
        <v/>
      </c>
      <c r="O75" s="34">
        <f>IF($A75="",NA(),IF(E75&gt;0,F75/E75,0))</f>
        <v/>
      </c>
      <c r="P75" s="34">
        <f>IF($A75="",NA(),IF(K75+L75&gt;0,K75/(K75+L75),0.5))</f>
        <v/>
      </c>
      <c r="Q75" s="34">
        <f>IF($A75="",NA(),1-P75)</f>
        <v/>
      </c>
      <c r="R75" s="33">
        <f>IF($A75="",NA(),MAX(0,E75-F75)*IF(G75&gt;0,H75/G75,COMPAREC_PAD)*IF(I75&gt;0,J75/I75,VALIDOS_PAD))</f>
        <v/>
      </c>
      <c r="S75" s="34">
        <f>IF($A75="",NA(),IF(R75&gt;0,0.5-(K75-L75)/(2*R75),0))</f>
        <v/>
      </c>
      <c r="T75" s="34">
        <f>IF($A75="",NA(),IF(R75&lt;=0,IF(K75&gt;L75,1,IF(K75&lt;L75,0,0.5)),1-NORMDIST(S75,P75+AJUSTE,SIGMA,TRUE)))</f>
        <v/>
      </c>
      <c r="U75" s="34">
        <f>IF($A75="",NA(),1-T75)</f>
        <v/>
      </c>
    </row>
    <row r="76"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N76" s="34">
        <f>IF($A76="",NA(),IF(C76&gt;0,D76/C76,0))</f>
        <v/>
      </c>
      <c r="O76" s="34">
        <f>IF($A76="",NA(),IF(E76&gt;0,F76/E76,0))</f>
        <v/>
      </c>
      <c r="P76" s="34">
        <f>IF($A76="",NA(),IF(K76+L76&gt;0,K76/(K76+L76),0.5))</f>
        <v/>
      </c>
      <c r="Q76" s="34">
        <f>IF($A76="",NA(),1-P76)</f>
        <v/>
      </c>
      <c r="R76" s="33">
        <f>IF($A76="",NA(),MAX(0,E76-F76)*IF(G76&gt;0,H76/G76,COMPAREC_PAD)*IF(I76&gt;0,J76/I76,VALIDOS_PAD))</f>
        <v/>
      </c>
      <c r="S76" s="34">
        <f>IF($A76="",NA(),IF(R76&gt;0,0.5-(K76-L76)/(2*R76),0))</f>
        <v/>
      </c>
      <c r="T76" s="34">
        <f>IF($A76="",NA(),IF(R76&lt;=0,IF(K76&gt;L76,1,IF(K76&lt;L76,0,0.5)),1-NORMDIST(S76,P76+AJUSTE,SIGMA,TRUE)))</f>
        <v/>
      </c>
      <c r="U76" s="34">
        <f>IF($A76="",NA(),1-T76)</f>
        <v/>
      </c>
    </row>
    <row r="77"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N77" s="34">
        <f>IF($A77="",NA(),IF(C77&gt;0,D77/C77,0))</f>
        <v/>
      </c>
      <c r="O77" s="34">
        <f>IF($A77="",NA(),IF(E77&gt;0,F77/E77,0))</f>
        <v/>
      </c>
      <c r="P77" s="34">
        <f>IF($A77="",NA(),IF(K77+L77&gt;0,K77/(K77+L77),0.5))</f>
        <v/>
      </c>
      <c r="Q77" s="34">
        <f>IF($A77="",NA(),1-P77)</f>
        <v/>
      </c>
      <c r="R77" s="33">
        <f>IF($A77="",NA(),MAX(0,E77-F77)*IF(G77&gt;0,H77/G77,COMPAREC_PAD)*IF(I77&gt;0,J77/I77,VALIDOS_PAD))</f>
        <v/>
      </c>
      <c r="S77" s="34">
        <f>IF($A77="",NA(),IF(R77&gt;0,0.5-(K77-L77)/(2*R77),0))</f>
        <v/>
      </c>
      <c r="T77" s="34">
        <f>IF($A77="",NA(),IF(R77&lt;=0,IF(K77&gt;L77,1,IF(K77&lt;L77,0,0.5)),1-NORMDIST(S77,P77+AJUSTE,SIGMA,TRUE)))</f>
        <v/>
      </c>
      <c r="U77" s="34">
        <f>IF($A77="",NA(),1-T77)</f>
        <v/>
      </c>
    </row>
    <row r="78"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N78" s="34">
        <f>IF($A78="",NA(),IF(C78&gt;0,D78/C78,0))</f>
        <v/>
      </c>
      <c r="O78" s="34">
        <f>IF($A78="",NA(),IF(E78&gt;0,F78/E78,0))</f>
        <v/>
      </c>
      <c r="P78" s="34">
        <f>IF($A78="",NA(),IF(K78+L78&gt;0,K78/(K78+L78),0.5))</f>
        <v/>
      </c>
      <c r="Q78" s="34">
        <f>IF($A78="",NA(),1-P78)</f>
        <v/>
      </c>
      <c r="R78" s="33">
        <f>IF($A78="",NA(),MAX(0,E78-F78)*IF(G78&gt;0,H78/G78,COMPAREC_PAD)*IF(I78&gt;0,J78/I78,VALIDOS_PAD))</f>
        <v/>
      </c>
      <c r="S78" s="34">
        <f>IF($A78="",NA(),IF(R78&gt;0,0.5-(K78-L78)/(2*R78),0))</f>
        <v/>
      </c>
      <c r="T78" s="34">
        <f>IF($A78="",NA(),IF(R78&lt;=0,IF(K78&gt;L78,1,IF(K78&lt;L78,0,0.5)),1-NORMDIST(S78,P78+AJUSTE,SIGMA,TRUE)))</f>
        <v/>
      </c>
      <c r="U78" s="34">
        <f>IF($A78="",NA(),1-T78)</f>
        <v/>
      </c>
    </row>
    <row r="79"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N79" s="34">
        <f>IF($A79="",NA(),IF(C79&gt;0,D79/C79,0))</f>
        <v/>
      </c>
      <c r="O79" s="34">
        <f>IF($A79="",NA(),IF(E79&gt;0,F79/E79,0))</f>
        <v/>
      </c>
      <c r="P79" s="34">
        <f>IF($A79="",NA(),IF(K79+L79&gt;0,K79/(K79+L79),0.5))</f>
        <v/>
      </c>
      <c r="Q79" s="34">
        <f>IF($A79="",NA(),1-P79)</f>
        <v/>
      </c>
      <c r="R79" s="33">
        <f>IF($A79="",NA(),MAX(0,E79-F79)*IF(G79&gt;0,H79/G79,COMPAREC_PAD)*IF(I79&gt;0,J79/I79,VALIDOS_PAD))</f>
        <v/>
      </c>
      <c r="S79" s="34">
        <f>IF($A79="",NA(),IF(R79&gt;0,0.5-(K79-L79)/(2*R79),0))</f>
        <v/>
      </c>
      <c r="T79" s="34">
        <f>IF($A79="",NA(),IF(R79&lt;=0,IF(K79&gt;L79,1,IF(K79&lt;L79,0,0.5)),1-NORMDIST(S79,P79+AJUSTE,SIGMA,TRUE)))</f>
        <v/>
      </c>
      <c r="U79" s="34">
        <f>IF($A79="",NA(),1-T79)</f>
        <v/>
      </c>
    </row>
    <row r="80"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N80" s="34">
        <f>IF($A80="",NA(),IF(C80&gt;0,D80/C80,0))</f>
        <v/>
      </c>
      <c r="O80" s="34">
        <f>IF($A80="",NA(),IF(E80&gt;0,F80/E80,0))</f>
        <v/>
      </c>
      <c r="P80" s="34">
        <f>IF($A80="",NA(),IF(K80+L80&gt;0,K80/(K80+L80),0.5))</f>
        <v/>
      </c>
      <c r="Q80" s="34">
        <f>IF($A80="",NA(),1-P80)</f>
        <v/>
      </c>
      <c r="R80" s="33">
        <f>IF($A80="",NA(),MAX(0,E80-F80)*IF(G80&gt;0,H80/G80,COMPAREC_PAD)*IF(I80&gt;0,J80/I80,VALIDOS_PAD))</f>
        <v/>
      </c>
      <c r="S80" s="34">
        <f>IF($A80="",NA(),IF(R80&gt;0,0.5-(K80-L80)/(2*R80),0))</f>
        <v/>
      </c>
      <c r="T80" s="34">
        <f>IF($A80="",NA(),IF(R80&lt;=0,IF(K80&gt;L80,1,IF(K80&lt;L80,0,0.5)),1-NORMDIST(S80,P80+AJUSTE,SIGMA,TRUE)))</f>
        <v/>
      </c>
      <c r="U80" s="34">
        <f>IF($A80="",NA(),1-T80)</f>
        <v/>
      </c>
    </row>
    <row r="81"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N81" s="34">
        <f>IF($A81="",NA(),IF(C81&gt;0,D81/C81,0))</f>
        <v/>
      </c>
      <c r="O81" s="34">
        <f>IF($A81="",NA(),IF(E81&gt;0,F81/E81,0))</f>
        <v/>
      </c>
      <c r="P81" s="34">
        <f>IF($A81="",NA(),IF(K81+L81&gt;0,K81/(K81+L81),0.5))</f>
        <v/>
      </c>
      <c r="Q81" s="34">
        <f>IF($A81="",NA(),1-P81)</f>
        <v/>
      </c>
      <c r="R81" s="33">
        <f>IF($A81="",NA(),MAX(0,E81-F81)*IF(G81&gt;0,H81/G81,COMPAREC_PAD)*IF(I81&gt;0,J81/I81,VALIDOS_PAD))</f>
        <v/>
      </c>
      <c r="S81" s="34">
        <f>IF($A81="",NA(),IF(R81&gt;0,0.5-(K81-L81)/(2*R81),0))</f>
        <v/>
      </c>
      <c r="T81" s="34">
        <f>IF($A81="",NA(),IF(R81&lt;=0,IF(K81&gt;L81,1,IF(K81&lt;L81,0,0.5)),1-NORMDIST(S81,P81+AJUSTE,SIGMA,TRUE)))</f>
        <v/>
      </c>
      <c r="U81" s="34">
        <f>IF($A81="",NA(),1-T81)</f>
        <v/>
      </c>
    </row>
    <row r="82"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N82" s="34">
        <f>IF($A82="",NA(),IF(C82&gt;0,D82/C82,0))</f>
        <v/>
      </c>
      <c r="O82" s="34">
        <f>IF($A82="",NA(),IF(E82&gt;0,F82/E82,0))</f>
        <v/>
      </c>
      <c r="P82" s="34">
        <f>IF($A82="",NA(),IF(K82+L82&gt;0,K82/(K82+L82),0.5))</f>
        <v/>
      </c>
      <c r="Q82" s="34">
        <f>IF($A82="",NA(),1-P82)</f>
        <v/>
      </c>
      <c r="R82" s="33">
        <f>IF($A82="",NA(),MAX(0,E82-F82)*IF(G82&gt;0,H82/G82,COMPAREC_PAD)*IF(I82&gt;0,J82/I82,VALIDOS_PAD))</f>
        <v/>
      </c>
      <c r="S82" s="34">
        <f>IF($A82="",NA(),IF(R82&gt;0,0.5-(K82-L82)/(2*R82),0))</f>
        <v/>
      </c>
      <c r="T82" s="34">
        <f>IF($A82="",NA(),IF(R82&lt;=0,IF(K82&gt;L82,1,IF(K82&lt;L82,0,0.5)),1-NORMDIST(S82,P82+AJUSTE,SIGMA,TRUE)))</f>
        <v/>
      </c>
      <c r="U82" s="34">
        <f>IF($A82="",NA(),1-T82)</f>
        <v/>
      </c>
    </row>
    <row r="83"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N83" s="34">
        <f>IF($A83="",NA(),IF(C83&gt;0,D83/C83,0))</f>
        <v/>
      </c>
      <c r="O83" s="34">
        <f>IF($A83="",NA(),IF(E83&gt;0,F83/E83,0))</f>
        <v/>
      </c>
      <c r="P83" s="34">
        <f>IF($A83="",NA(),IF(K83+L83&gt;0,K83/(K83+L83),0.5))</f>
        <v/>
      </c>
      <c r="Q83" s="34">
        <f>IF($A83="",NA(),1-P83)</f>
        <v/>
      </c>
      <c r="R83" s="33">
        <f>IF($A83="",NA(),MAX(0,E83-F83)*IF(G83&gt;0,H83/G83,COMPAREC_PAD)*IF(I83&gt;0,J83/I83,VALIDOS_PAD))</f>
        <v/>
      </c>
      <c r="S83" s="34">
        <f>IF($A83="",NA(),IF(R83&gt;0,0.5-(K83-L83)/(2*R83),0))</f>
        <v/>
      </c>
      <c r="T83" s="34">
        <f>IF($A83="",NA(),IF(R83&lt;=0,IF(K83&gt;L83,1,IF(K83&lt;L83,0,0.5)),1-NORMDIST(S83,P83+AJUSTE,SIGMA,TRUE)))</f>
        <v/>
      </c>
      <c r="U83" s="34">
        <f>IF($A83="",NA(),1-T83)</f>
        <v/>
      </c>
    </row>
    <row r="84"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N84" s="34">
        <f>IF($A84="",NA(),IF(C84&gt;0,D84/C84,0))</f>
        <v/>
      </c>
      <c r="O84" s="34">
        <f>IF($A84="",NA(),IF(E84&gt;0,F84/E84,0))</f>
        <v/>
      </c>
      <c r="P84" s="34">
        <f>IF($A84="",NA(),IF(K84+L84&gt;0,K84/(K84+L84),0.5))</f>
        <v/>
      </c>
      <c r="Q84" s="34">
        <f>IF($A84="",NA(),1-P84)</f>
        <v/>
      </c>
      <c r="R84" s="33">
        <f>IF($A84="",NA(),MAX(0,E84-F84)*IF(G84&gt;0,H84/G84,COMPAREC_PAD)*IF(I84&gt;0,J84/I84,VALIDOS_PAD))</f>
        <v/>
      </c>
      <c r="S84" s="34">
        <f>IF($A84="",NA(),IF(R84&gt;0,0.5-(K84-L84)/(2*R84),0))</f>
        <v/>
      </c>
      <c r="T84" s="34">
        <f>IF($A84="",NA(),IF(R84&lt;=0,IF(K84&gt;L84,1,IF(K84&lt;L84,0,0.5)),1-NORMDIST(S84,P84+AJUSTE,SIGMA,TRUE)))</f>
        <v/>
      </c>
      <c r="U84" s="34">
        <f>IF($A84="",NA(),1-T84)</f>
        <v/>
      </c>
    </row>
    <row r="85"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N85" s="34">
        <f>IF($A85="",NA(),IF(C85&gt;0,D85/C85,0))</f>
        <v/>
      </c>
      <c r="O85" s="34">
        <f>IF($A85="",NA(),IF(E85&gt;0,F85/E85,0))</f>
        <v/>
      </c>
      <c r="P85" s="34">
        <f>IF($A85="",NA(),IF(K85+L85&gt;0,K85/(K85+L85),0.5))</f>
        <v/>
      </c>
      <c r="Q85" s="34">
        <f>IF($A85="",NA(),1-P85)</f>
        <v/>
      </c>
      <c r="R85" s="33">
        <f>IF($A85="",NA(),MAX(0,E85-F85)*IF(G85&gt;0,H85/G85,COMPAREC_PAD)*IF(I85&gt;0,J85/I85,VALIDOS_PAD))</f>
        <v/>
      </c>
      <c r="S85" s="34">
        <f>IF($A85="",NA(),IF(R85&gt;0,0.5-(K85-L85)/(2*R85),0))</f>
        <v/>
      </c>
      <c r="T85" s="34">
        <f>IF($A85="",NA(),IF(R85&lt;=0,IF(K85&gt;L85,1,IF(K85&lt;L85,0,0.5)),1-NORMDIST(S85,P85+AJUSTE,SIGMA,TRUE)))</f>
        <v/>
      </c>
      <c r="U85" s="34">
        <f>IF($A85="",NA(),1-T85)</f>
        <v/>
      </c>
    </row>
    <row r="86"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N86" s="34">
        <f>IF($A86="",NA(),IF(C86&gt;0,D86/C86,0))</f>
        <v/>
      </c>
      <c r="O86" s="34">
        <f>IF($A86="",NA(),IF(E86&gt;0,F86/E86,0))</f>
        <v/>
      </c>
      <c r="P86" s="34">
        <f>IF($A86="",NA(),IF(K86+L86&gt;0,K86/(K86+L86),0.5))</f>
        <v/>
      </c>
      <c r="Q86" s="34">
        <f>IF($A86="",NA(),1-P86)</f>
        <v/>
      </c>
      <c r="R86" s="33">
        <f>IF($A86="",NA(),MAX(0,E86-F86)*IF(G86&gt;0,H86/G86,COMPAREC_PAD)*IF(I86&gt;0,J86/I86,VALIDOS_PAD))</f>
        <v/>
      </c>
      <c r="S86" s="34">
        <f>IF($A86="",NA(),IF(R86&gt;0,0.5-(K86-L86)/(2*R86),0))</f>
        <v/>
      </c>
      <c r="T86" s="34">
        <f>IF($A86="",NA(),IF(R86&lt;=0,IF(K86&gt;L86,1,IF(K86&lt;L86,0,0.5)),1-NORMDIST(S86,P86+AJUSTE,SIGMA,TRUE)))</f>
        <v/>
      </c>
      <c r="U86" s="34">
        <f>IF($A86="",NA(),1-T86)</f>
        <v/>
      </c>
    </row>
    <row r="87"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N87" s="34">
        <f>IF($A87="",NA(),IF(C87&gt;0,D87/C87,0))</f>
        <v/>
      </c>
      <c r="O87" s="34">
        <f>IF($A87="",NA(),IF(E87&gt;0,F87/E87,0))</f>
        <v/>
      </c>
      <c r="P87" s="34">
        <f>IF($A87="",NA(),IF(K87+L87&gt;0,K87/(K87+L87),0.5))</f>
        <v/>
      </c>
      <c r="Q87" s="34">
        <f>IF($A87="",NA(),1-P87)</f>
        <v/>
      </c>
      <c r="R87" s="33">
        <f>IF($A87="",NA(),MAX(0,E87-F87)*IF(G87&gt;0,H87/G87,COMPAREC_PAD)*IF(I87&gt;0,J87/I87,VALIDOS_PAD))</f>
        <v/>
      </c>
      <c r="S87" s="34">
        <f>IF($A87="",NA(),IF(R87&gt;0,0.5-(K87-L87)/(2*R87),0))</f>
        <v/>
      </c>
      <c r="T87" s="34">
        <f>IF($A87="",NA(),IF(R87&lt;=0,IF(K87&gt;L87,1,IF(K87&lt;L87,0,0.5)),1-NORMDIST(S87,P87+AJUSTE,SIGMA,TRUE)))</f>
        <v/>
      </c>
      <c r="U87" s="34">
        <f>IF($A87="",NA(),1-T87)</f>
        <v/>
      </c>
    </row>
    <row r="88"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N88" s="34">
        <f>IF($A88="",NA(),IF(C88&gt;0,D88/C88,0))</f>
        <v/>
      </c>
      <c r="O88" s="34">
        <f>IF($A88="",NA(),IF(E88&gt;0,F88/E88,0))</f>
        <v/>
      </c>
      <c r="P88" s="34">
        <f>IF($A88="",NA(),IF(K88+L88&gt;0,K88/(K88+L88),0.5))</f>
        <v/>
      </c>
      <c r="Q88" s="34">
        <f>IF($A88="",NA(),1-P88)</f>
        <v/>
      </c>
      <c r="R88" s="33">
        <f>IF($A88="",NA(),MAX(0,E88-F88)*IF(G88&gt;0,H88/G88,COMPAREC_PAD)*IF(I88&gt;0,J88/I88,VALIDOS_PAD))</f>
        <v/>
      </c>
      <c r="S88" s="34">
        <f>IF($A88="",NA(),IF(R88&gt;0,0.5-(K88-L88)/(2*R88),0))</f>
        <v/>
      </c>
      <c r="T88" s="34">
        <f>IF($A88="",NA(),IF(R88&lt;=0,IF(K88&gt;L88,1,IF(K88&lt;L88,0,0.5)),1-NORMDIST(S88,P88+AJUSTE,SIGMA,TRUE)))</f>
        <v/>
      </c>
      <c r="U88" s="34">
        <f>IF($A88="",NA(),1-T88)</f>
        <v/>
      </c>
    </row>
    <row r="89"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N89" s="34">
        <f>IF($A89="",NA(),IF(C89&gt;0,D89/C89,0))</f>
        <v/>
      </c>
      <c r="O89" s="34">
        <f>IF($A89="",NA(),IF(E89&gt;0,F89/E89,0))</f>
        <v/>
      </c>
      <c r="P89" s="34">
        <f>IF($A89="",NA(),IF(K89+L89&gt;0,K89/(K89+L89),0.5))</f>
        <v/>
      </c>
      <c r="Q89" s="34">
        <f>IF($A89="",NA(),1-P89)</f>
        <v/>
      </c>
      <c r="R89" s="33">
        <f>IF($A89="",NA(),MAX(0,E89-F89)*IF(G89&gt;0,H89/G89,COMPAREC_PAD)*IF(I89&gt;0,J89/I89,VALIDOS_PAD))</f>
        <v/>
      </c>
      <c r="S89" s="34">
        <f>IF($A89="",NA(),IF(R89&gt;0,0.5-(K89-L89)/(2*R89),0))</f>
        <v/>
      </c>
      <c r="T89" s="34">
        <f>IF($A89="",NA(),IF(R89&lt;=0,IF(K89&gt;L89,1,IF(K89&lt;L89,0,0.5)),1-NORMDIST(S89,P89+AJUSTE,SIGMA,TRUE)))</f>
        <v/>
      </c>
      <c r="U89" s="34">
        <f>IF($A89="",NA(),1-T89)</f>
        <v/>
      </c>
    </row>
    <row r="90"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N90" s="34">
        <f>IF($A90="",NA(),IF(C90&gt;0,D90/C90,0))</f>
        <v/>
      </c>
      <c r="O90" s="34">
        <f>IF($A90="",NA(),IF(E90&gt;0,F90/E90,0))</f>
        <v/>
      </c>
      <c r="P90" s="34">
        <f>IF($A90="",NA(),IF(K90+L90&gt;0,K90/(K90+L90),0.5))</f>
        <v/>
      </c>
      <c r="Q90" s="34">
        <f>IF($A90="",NA(),1-P90)</f>
        <v/>
      </c>
      <c r="R90" s="33">
        <f>IF($A90="",NA(),MAX(0,E90-F90)*IF(G90&gt;0,H90/G90,COMPAREC_PAD)*IF(I90&gt;0,J90/I90,VALIDOS_PAD))</f>
        <v/>
      </c>
      <c r="S90" s="34">
        <f>IF($A90="",NA(),IF(R90&gt;0,0.5-(K90-L90)/(2*R90),0))</f>
        <v/>
      </c>
      <c r="T90" s="34">
        <f>IF($A90="",NA(),IF(R90&lt;=0,IF(K90&gt;L90,1,IF(K90&lt;L90,0,0.5)),1-NORMDIST(S90,P90+AJUSTE,SIGMA,TRUE)))</f>
        <v/>
      </c>
      <c r="U90" s="34">
        <f>IF($A90="",NA(),1-T90)</f>
        <v/>
      </c>
    </row>
    <row r="91"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N91" s="34">
        <f>IF($A91="",NA(),IF(C91&gt;0,D91/C91,0))</f>
        <v/>
      </c>
      <c r="O91" s="34">
        <f>IF($A91="",NA(),IF(E91&gt;0,F91/E91,0))</f>
        <v/>
      </c>
      <c r="P91" s="34">
        <f>IF($A91="",NA(),IF(K91+L91&gt;0,K91/(K91+L91),0.5))</f>
        <v/>
      </c>
      <c r="Q91" s="34">
        <f>IF($A91="",NA(),1-P91)</f>
        <v/>
      </c>
      <c r="R91" s="33">
        <f>IF($A91="",NA(),MAX(0,E91-F91)*IF(G91&gt;0,H91/G91,COMPAREC_PAD)*IF(I91&gt;0,J91/I91,VALIDOS_PAD))</f>
        <v/>
      </c>
      <c r="S91" s="34">
        <f>IF($A91="",NA(),IF(R91&gt;0,0.5-(K91-L91)/(2*R91),0))</f>
        <v/>
      </c>
      <c r="T91" s="34">
        <f>IF($A91="",NA(),IF(R91&lt;=0,IF(K91&gt;L91,1,IF(K91&lt;L91,0,0.5)),1-NORMDIST(S91,P91+AJUSTE,SIGMA,TRUE)))</f>
        <v/>
      </c>
      <c r="U91" s="34">
        <f>IF($A91="",NA(),1-T91)</f>
        <v/>
      </c>
    </row>
    <row r="92"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N92" s="34">
        <f>IF($A92="",NA(),IF(C92&gt;0,D92/C92,0))</f>
        <v/>
      </c>
      <c r="O92" s="34">
        <f>IF($A92="",NA(),IF(E92&gt;0,F92/E92,0))</f>
        <v/>
      </c>
      <c r="P92" s="34">
        <f>IF($A92="",NA(),IF(K92+L92&gt;0,K92/(K92+L92),0.5))</f>
        <v/>
      </c>
      <c r="Q92" s="34">
        <f>IF($A92="",NA(),1-P92)</f>
        <v/>
      </c>
      <c r="R92" s="33">
        <f>IF($A92="",NA(),MAX(0,E92-F92)*IF(G92&gt;0,H92/G92,COMPAREC_PAD)*IF(I92&gt;0,J92/I92,VALIDOS_PAD))</f>
        <v/>
      </c>
      <c r="S92" s="34">
        <f>IF($A92="",NA(),IF(R92&gt;0,0.5-(K92-L92)/(2*R92),0))</f>
        <v/>
      </c>
      <c r="T92" s="34">
        <f>IF($A92="",NA(),IF(R92&lt;=0,IF(K92&gt;L92,1,IF(K92&lt;L92,0,0.5)),1-NORMDIST(S92,P92+AJUSTE,SIGMA,TRUE)))</f>
        <v/>
      </c>
      <c r="U92" s="34">
        <f>IF($A92="",NA(),1-T92)</f>
        <v/>
      </c>
    </row>
    <row r="93"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N93" s="34">
        <f>IF($A93="",NA(),IF(C93&gt;0,D93/C93,0))</f>
        <v/>
      </c>
      <c r="O93" s="34">
        <f>IF($A93="",NA(),IF(E93&gt;0,F93/E93,0))</f>
        <v/>
      </c>
      <c r="P93" s="34">
        <f>IF($A93="",NA(),IF(K93+L93&gt;0,K93/(K93+L93),0.5))</f>
        <v/>
      </c>
      <c r="Q93" s="34">
        <f>IF($A93="",NA(),1-P93)</f>
        <v/>
      </c>
      <c r="R93" s="33">
        <f>IF($A93="",NA(),MAX(0,E93-F93)*IF(G93&gt;0,H93/G93,COMPAREC_PAD)*IF(I93&gt;0,J93/I93,VALIDOS_PAD))</f>
        <v/>
      </c>
      <c r="S93" s="34">
        <f>IF($A93="",NA(),IF(R93&gt;0,0.5-(K93-L93)/(2*R93),0))</f>
        <v/>
      </c>
      <c r="T93" s="34">
        <f>IF($A93="",NA(),IF(R93&lt;=0,IF(K93&gt;L93,1,IF(K93&lt;L93,0,0.5)),1-NORMDIST(S93,P93+AJUSTE,SIGMA,TRUE)))</f>
        <v/>
      </c>
      <c r="U93" s="34">
        <f>IF($A93="",NA(),1-T93)</f>
        <v/>
      </c>
    </row>
    <row r="94"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N94" s="34">
        <f>IF($A94="",NA(),IF(C94&gt;0,D94/C94,0))</f>
        <v/>
      </c>
      <c r="O94" s="34">
        <f>IF($A94="",NA(),IF(E94&gt;0,F94/E94,0))</f>
        <v/>
      </c>
      <c r="P94" s="34">
        <f>IF($A94="",NA(),IF(K94+L94&gt;0,K94/(K94+L94),0.5))</f>
        <v/>
      </c>
      <c r="Q94" s="34">
        <f>IF($A94="",NA(),1-P94)</f>
        <v/>
      </c>
      <c r="R94" s="33">
        <f>IF($A94="",NA(),MAX(0,E94-F94)*IF(G94&gt;0,H94/G94,COMPAREC_PAD)*IF(I94&gt;0,J94/I94,VALIDOS_PAD))</f>
        <v/>
      </c>
      <c r="S94" s="34">
        <f>IF($A94="",NA(),IF(R94&gt;0,0.5-(K94-L94)/(2*R94),0))</f>
        <v/>
      </c>
      <c r="T94" s="34">
        <f>IF($A94="",NA(),IF(R94&lt;=0,IF(K94&gt;L94,1,IF(K94&lt;L94,0,0.5)),1-NORMDIST(S94,P94+AJUSTE,SIGMA,TRUE)))</f>
        <v/>
      </c>
      <c r="U94" s="34">
        <f>IF($A94="",NA(),1-T94)</f>
        <v/>
      </c>
    </row>
    <row r="95"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N95" s="34">
        <f>IF($A95="",NA(),IF(C95&gt;0,D95/C95,0))</f>
        <v/>
      </c>
      <c r="O95" s="34">
        <f>IF($A95="",NA(),IF(E95&gt;0,F95/E95,0))</f>
        <v/>
      </c>
      <c r="P95" s="34">
        <f>IF($A95="",NA(),IF(K95+L95&gt;0,K95/(K95+L95),0.5))</f>
        <v/>
      </c>
      <c r="Q95" s="34">
        <f>IF($A95="",NA(),1-P95)</f>
        <v/>
      </c>
      <c r="R95" s="33">
        <f>IF($A95="",NA(),MAX(0,E95-F95)*IF(G95&gt;0,H95/G95,COMPAREC_PAD)*IF(I95&gt;0,J95/I95,VALIDOS_PAD))</f>
        <v/>
      </c>
      <c r="S95" s="34">
        <f>IF($A95="",NA(),IF(R95&gt;0,0.5-(K95-L95)/(2*R95),0))</f>
        <v/>
      </c>
      <c r="T95" s="34">
        <f>IF($A95="",NA(),IF(R95&lt;=0,IF(K95&gt;L95,1,IF(K95&lt;L95,0,0.5)),1-NORMDIST(S95,P95+AJUSTE,SIGMA,TRUE)))</f>
        <v/>
      </c>
      <c r="U95" s="34">
        <f>IF($A95="",NA(),1-T95)</f>
        <v/>
      </c>
    </row>
    <row r="96"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N96" s="34">
        <f>IF($A96="",NA(),IF(C96&gt;0,D96/C96,0))</f>
        <v/>
      </c>
      <c r="O96" s="34">
        <f>IF($A96="",NA(),IF(E96&gt;0,F96/E96,0))</f>
        <v/>
      </c>
      <c r="P96" s="34">
        <f>IF($A96="",NA(),IF(K96+L96&gt;0,K96/(K96+L96),0.5))</f>
        <v/>
      </c>
      <c r="Q96" s="34">
        <f>IF($A96="",NA(),1-P96)</f>
        <v/>
      </c>
      <c r="R96" s="33">
        <f>IF($A96="",NA(),MAX(0,E96-F96)*IF(G96&gt;0,H96/G96,COMPAREC_PAD)*IF(I96&gt;0,J96/I96,VALIDOS_PAD))</f>
        <v/>
      </c>
      <c r="S96" s="34">
        <f>IF($A96="",NA(),IF(R96&gt;0,0.5-(K96-L96)/(2*R96),0))</f>
        <v/>
      </c>
      <c r="T96" s="34">
        <f>IF($A96="",NA(),IF(R96&lt;=0,IF(K96&gt;L96,1,IF(K96&lt;L96,0,0.5)),1-NORMDIST(S96,P96+AJUSTE,SIGMA,TRUE)))</f>
        <v/>
      </c>
      <c r="U96" s="34">
        <f>IF($A96="",NA(),1-T96)</f>
        <v/>
      </c>
    </row>
    <row r="97"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N97" s="34">
        <f>IF($A97="",NA(),IF(C97&gt;0,D97/C97,0))</f>
        <v/>
      </c>
      <c r="O97" s="34">
        <f>IF($A97="",NA(),IF(E97&gt;0,F97/E97,0))</f>
        <v/>
      </c>
      <c r="P97" s="34">
        <f>IF($A97="",NA(),IF(K97+L97&gt;0,K97/(K97+L97),0.5))</f>
        <v/>
      </c>
      <c r="Q97" s="34">
        <f>IF($A97="",NA(),1-P97)</f>
        <v/>
      </c>
      <c r="R97" s="33">
        <f>IF($A97="",NA(),MAX(0,E97-F97)*IF(G97&gt;0,H97/G97,COMPAREC_PAD)*IF(I97&gt;0,J97/I97,VALIDOS_PAD))</f>
        <v/>
      </c>
      <c r="S97" s="34">
        <f>IF($A97="",NA(),IF(R97&gt;0,0.5-(K97-L97)/(2*R97),0))</f>
        <v/>
      </c>
      <c r="T97" s="34">
        <f>IF($A97="",NA(),IF(R97&lt;=0,IF(K97&gt;L97,1,IF(K97&lt;L97,0,0.5)),1-NORMDIST(S97,P97+AJUSTE,SIGMA,TRUE)))</f>
        <v/>
      </c>
      <c r="U97" s="34">
        <f>IF($A97="",NA(),1-T97)</f>
        <v/>
      </c>
    </row>
    <row r="98"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N98" s="34">
        <f>IF($A98="",NA(),IF(C98&gt;0,D98/C98,0))</f>
        <v/>
      </c>
      <c r="O98" s="34">
        <f>IF($A98="",NA(),IF(E98&gt;0,F98/E98,0))</f>
        <v/>
      </c>
      <c r="P98" s="34">
        <f>IF($A98="",NA(),IF(K98+L98&gt;0,K98/(K98+L98),0.5))</f>
        <v/>
      </c>
      <c r="Q98" s="34">
        <f>IF($A98="",NA(),1-P98)</f>
        <v/>
      </c>
      <c r="R98" s="33">
        <f>IF($A98="",NA(),MAX(0,E98-F98)*IF(G98&gt;0,H98/G98,COMPAREC_PAD)*IF(I98&gt;0,J98/I98,VALIDOS_PAD))</f>
        <v/>
      </c>
      <c r="S98" s="34">
        <f>IF($A98="",NA(),IF(R98&gt;0,0.5-(K98-L98)/(2*R98),0))</f>
        <v/>
      </c>
      <c r="T98" s="34">
        <f>IF($A98="",NA(),IF(R98&lt;=0,IF(K98&gt;L98,1,IF(K98&lt;L98,0,0.5)),1-NORMDIST(S98,P98+AJUSTE,SIGMA,TRUE)))</f>
        <v/>
      </c>
      <c r="U98" s="34">
        <f>IF($A98="",NA(),1-T98)</f>
        <v/>
      </c>
    </row>
    <row r="99"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N99" s="34">
        <f>IF($A99="",NA(),IF(C99&gt;0,D99/C99,0))</f>
        <v/>
      </c>
      <c r="O99" s="34">
        <f>IF($A99="",NA(),IF(E99&gt;0,F99/E99,0))</f>
        <v/>
      </c>
      <c r="P99" s="34">
        <f>IF($A99="",NA(),IF(K99+L99&gt;0,K99/(K99+L99),0.5))</f>
        <v/>
      </c>
      <c r="Q99" s="34">
        <f>IF($A99="",NA(),1-P99)</f>
        <v/>
      </c>
      <c r="R99" s="33">
        <f>IF($A99="",NA(),MAX(0,E99-F99)*IF(G99&gt;0,H99/G99,COMPAREC_PAD)*IF(I99&gt;0,J99/I99,VALIDOS_PAD))</f>
        <v/>
      </c>
      <c r="S99" s="34">
        <f>IF($A99="",NA(),IF(R99&gt;0,0.5-(K99-L99)/(2*R99),0))</f>
        <v/>
      </c>
      <c r="T99" s="34">
        <f>IF($A99="",NA(),IF(R99&lt;=0,IF(K99&gt;L99,1,IF(K99&lt;L99,0,0.5)),1-NORMDIST(S99,P99+AJUSTE,SIGMA,TRUE)))</f>
        <v/>
      </c>
      <c r="U99" s="34">
        <f>IF($A99="",NA(),1-T99)</f>
        <v/>
      </c>
    </row>
    <row r="100"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N100" s="34">
        <f>IF($A100="",NA(),IF(C100&gt;0,D100/C100,0))</f>
        <v/>
      </c>
      <c r="O100" s="34">
        <f>IF($A100="",NA(),IF(E100&gt;0,F100/E100,0))</f>
        <v/>
      </c>
      <c r="P100" s="34">
        <f>IF($A100="",NA(),IF(K100+L100&gt;0,K100/(K100+L100),0.5))</f>
        <v/>
      </c>
      <c r="Q100" s="34">
        <f>IF($A100="",NA(),1-P100)</f>
        <v/>
      </c>
      <c r="R100" s="33">
        <f>IF($A100="",NA(),MAX(0,E100-F100)*IF(G100&gt;0,H100/G100,COMPAREC_PAD)*IF(I100&gt;0,J100/I100,VALIDOS_PAD))</f>
        <v/>
      </c>
      <c r="S100" s="34">
        <f>IF($A100="",NA(),IF(R100&gt;0,0.5-(K100-L100)/(2*R100),0))</f>
        <v/>
      </c>
      <c r="T100" s="34">
        <f>IF($A100="",NA(),IF(R100&lt;=0,IF(K100&gt;L100,1,IF(K100&lt;L100,0,0.5)),1-NORMDIST(S100,P100+AJUSTE,SIGMA,TRUE)))</f>
        <v/>
      </c>
      <c r="U100" s="34">
        <f>IF($A100="",NA(),1-T100)</f>
        <v/>
      </c>
    </row>
    <row r="101"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N101" s="34">
        <f>IF($A101="",NA(),IF(C101&gt;0,D101/C101,0))</f>
        <v/>
      </c>
      <c r="O101" s="34">
        <f>IF($A101="",NA(),IF(E101&gt;0,F101/E101,0))</f>
        <v/>
      </c>
      <c r="P101" s="34">
        <f>IF($A101="",NA(),IF(K101+L101&gt;0,K101/(K101+L101),0.5))</f>
        <v/>
      </c>
      <c r="Q101" s="34">
        <f>IF($A101="",NA(),1-P101)</f>
        <v/>
      </c>
      <c r="R101" s="33">
        <f>IF($A101="",NA(),MAX(0,E101-F101)*IF(G101&gt;0,H101/G101,COMPAREC_PAD)*IF(I101&gt;0,J101/I101,VALIDOS_PAD))</f>
        <v/>
      </c>
      <c r="S101" s="34">
        <f>IF($A101="",NA(),IF(R101&gt;0,0.5-(K101-L101)/(2*R101),0))</f>
        <v/>
      </c>
      <c r="T101" s="34">
        <f>IF($A101="",NA(),IF(R101&lt;=0,IF(K101&gt;L101,1,IF(K101&lt;L101,0,0.5)),1-NORMDIST(S101,P101+AJUSTE,SIGMA,TRUE)))</f>
        <v/>
      </c>
      <c r="U101" s="34">
        <f>IF($A101="",NA(),1-T101)</f>
        <v/>
      </c>
    </row>
    <row r="102"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N102" s="34">
        <f>IF($A102="",NA(),IF(C102&gt;0,D102/C102,0))</f>
        <v/>
      </c>
      <c r="O102" s="34">
        <f>IF($A102="",NA(),IF(E102&gt;0,F102/E102,0))</f>
        <v/>
      </c>
      <c r="P102" s="34">
        <f>IF($A102="",NA(),IF(K102+L102&gt;0,K102/(K102+L102),0.5))</f>
        <v/>
      </c>
      <c r="Q102" s="34">
        <f>IF($A102="",NA(),1-P102)</f>
        <v/>
      </c>
      <c r="R102" s="33">
        <f>IF($A102="",NA(),MAX(0,E102-F102)*IF(G102&gt;0,H102/G102,COMPAREC_PAD)*IF(I102&gt;0,J102/I102,VALIDOS_PAD))</f>
        <v/>
      </c>
      <c r="S102" s="34">
        <f>IF($A102="",NA(),IF(R102&gt;0,0.5-(K102-L102)/(2*R102),0))</f>
        <v/>
      </c>
      <c r="T102" s="34">
        <f>IF($A102="",NA(),IF(R102&lt;=0,IF(K102&gt;L102,1,IF(K102&lt;L102,0,0.5)),1-NORMDIST(S102,P102+AJUSTE,SIGMA,TRUE)))</f>
        <v/>
      </c>
      <c r="U102" s="34">
        <f>IF($A102="",NA(),1-T102)</f>
        <v/>
      </c>
    </row>
    <row r="103"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N103" s="34">
        <f>IF($A103="",NA(),IF(C103&gt;0,D103/C103,0))</f>
        <v/>
      </c>
      <c r="O103" s="34">
        <f>IF($A103="",NA(),IF(E103&gt;0,F103/E103,0))</f>
        <v/>
      </c>
      <c r="P103" s="34">
        <f>IF($A103="",NA(),IF(K103+L103&gt;0,K103/(K103+L103),0.5))</f>
        <v/>
      </c>
      <c r="Q103" s="34">
        <f>IF($A103="",NA(),1-P103)</f>
        <v/>
      </c>
      <c r="R103" s="33">
        <f>IF($A103="",NA(),MAX(0,E103-F103)*IF(G103&gt;0,H103/G103,COMPAREC_PAD)*IF(I103&gt;0,J103/I103,VALIDOS_PAD))</f>
        <v/>
      </c>
      <c r="S103" s="34">
        <f>IF($A103="",NA(),IF(R103&gt;0,0.5-(K103-L103)/(2*R103),0))</f>
        <v/>
      </c>
      <c r="T103" s="34">
        <f>IF($A103="",NA(),IF(R103&lt;=0,IF(K103&gt;L103,1,IF(K103&lt;L103,0,0.5)),1-NORMDIST(S103,P103+AJUSTE,SIGMA,TRUE)))</f>
        <v/>
      </c>
      <c r="U103" s="34">
        <f>IF($A103="",NA(),1-T103)</f>
        <v/>
      </c>
    </row>
    <row r="104"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N104" s="34">
        <f>IF($A104="",NA(),IF(C104&gt;0,D104/C104,0))</f>
        <v/>
      </c>
      <c r="O104" s="34">
        <f>IF($A104="",NA(),IF(E104&gt;0,F104/E104,0))</f>
        <v/>
      </c>
      <c r="P104" s="34">
        <f>IF($A104="",NA(),IF(K104+L104&gt;0,K104/(K104+L104),0.5))</f>
        <v/>
      </c>
      <c r="Q104" s="34">
        <f>IF($A104="",NA(),1-P104)</f>
        <v/>
      </c>
      <c r="R104" s="33">
        <f>IF($A104="",NA(),MAX(0,E104-F104)*IF(G104&gt;0,H104/G104,COMPAREC_PAD)*IF(I104&gt;0,J104/I104,VALIDOS_PAD))</f>
        <v/>
      </c>
      <c r="S104" s="34">
        <f>IF($A104="",NA(),IF(R104&gt;0,0.5-(K104-L104)/(2*R104),0))</f>
        <v/>
      </c>
      <c r="T104" s="34">
        <f>IF($A104="",NA(),IF(R104&lt;=0,IF(K104&gt;L104,1,IF(K104&lt;L104,0,0.5)),1-NORMDIST(S104,P104+AJUSTE,SIGMA,TRUE)))</f>
        <v/>
      </c>
      <c r="U104" s="34">
        <f>IF($A104="",NA(),1-T104)</f>
        <v/>
      </c>
    </row>
    <row r="105"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N105" s="34">
        <f>IF($A105="",NA(),IF(C105&gt;0,D105/C105,0))</f>
        <v/>
      </c>
      <c r="O105" s="34">
        <f>IF($A105="",NA(),IF(E105&gt;0,F105/E105,0))</f>
        <v/>
      </c>
      <c r="P105" s="34">
        <f>IF($A105="",NA(),IF(K105+L105&gt;0,K105/(K105+L105),0.5))</f>
        <v/>
      </c>
      <c r="Q105" s="34">
        <f>IF($A105="",NA(),1-P105)</f>
        <v/>
      </c>
      <c r="R105" s="33">
        <f>IF($A105="",NA(),MAX(0,E105-F105)*IF(G105&gt;0,H105/G105,COMPAREC_PAD)*IF(I105&gt;0,J105/I105,VALIDOS_PAD))</f>
        <v/>
      </c>
      <c r="S105" s="34">
        <f>IF($A105="",NA(),IF(R105&gt;0,0.5-(K105-L105)/(2*R105),0))</f>
        <v/>
      </c>
      <c r="T105" s="34">
        <f>IF($A105="",NA(),IF(R105&lt;=0,IF(K105&gt;L105,1,IF(K105&lt;L105,0,0.5)),1-NORMDIST(S105,P105+AJUSTE,SIGMA,TRUE)))</f>
        <v/>
      </c>
      <c r="U105" s="34">
        <f>IF($A105="",NA(),1-T105)</f>
        <v/>
      </c>
    </row>
    <row r="106"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N106" s="34">
        <f>IF($A106="",NA(),IF(C106&gt;0,D106/C106,0))</f>
        <v/>
      </c>
      <c r="O106" s="34">
        <f>IF($A106="",NA(),IF(E106&gt;0,F106/E106,0))</f>
        <v/>
      </c>
      <c r="P106" s="34">
        <f>IF($A106="",NA(),IF(K106+L106&gt;0,K106/(K106+L106),0.5))</f>
        <v/>
      </c>
      <c r="Q106" s="34">
        <f>IF($A106="",NA(),1-P106)</f>
        <v/>
      </c>
      <c r="R106" s="33">
        <f>IF($A106="",NA(),MAX(0,E106-F106)*IF(G106&gt;0,H106/G106,COMPAREC_PAD)*IF(I106&gt;0,J106/I106,VALIDOS_PAD))</f>
        <v/>
      </c>
      <c r="S106" s="34">
        <f>IF($A106="",NA(),IF(R106&gt;0,0.5-(K106-L106)/(2*R106),0))</f>
        <v/>
      </c>
      <c r="T106" s="34">
        <f>IF($A106="",NA(),IF(R106&lt;=0,IF(K106&gt;L106,1,IF(K106&lt;L106,0,0.5)),1-NORMDIST(S106,P106+AJUSTE,SIGMA,TRUE)))</f>
        <v/>
      </c>
      <c r="U106" s="34">
        <f>IF($A106="",NA(),1-T106)</f>
        <v/>
      </c>
    </row>
    <row r="107"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N107" s="34">
        <f>IF($A107="",NA(),IF(C107&gt;0,D107/C107,0))</f>
        <v/>
      </c>
      <c r="O107" s="34">
        <f>IF($A107="",NA(),IF(E107&gt;0,F107/E107,0))</f>
        <v/>
      </c>
      <c r="P107" s="34">
        <f>IF($A107="",NA(),IF(K107+L107&gt;0,K107/(K107+L107),0.5))</f>
        <v/>
      </c>
      <c r="Q107" s="34">
        <f>IF($A107="",NA(),1-P107)</f>
        <v/>
      </c>
      <c r="R107" s="33">
        <f>IF($A107="",NA(),MAX(0,E107-F107)*IF(G107&gt;0,H107/G107,COMPAREC_PAD)*IF(I107&gt;0,J107/I107,VALIDOS_PAD))</f>
        <v/>
      </c>
      <c r="S107" s="34">
        <f>IF($A107="",NA(),IF(R107&gt;0,0.5-(K107-L107)/(2*R107),0))</f>
        <v/>
      </c>
      <c r="T107" s="34">
        <f>IF($A107="",NA(),IF(R107&lt;=0,IF(K107&gt;L107,1,IF(K107&lt;L107,0,0.5)),1-NORMDIST(S107,P107+AJUSTE,SIGMA,TRUE)))</f>
        <v/>
      </c>
      <c r="U107" s="34">
        <f>IF($A107="",NA(),1-T107)</f>
        <v/>
      </c>
    </row>
    <row r="108"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N108" s="34">
        <f>IF($A108="",NA(),IF(C108&gt;0,D108/C108,0))</f>
        <v/>
      </c>
      <c r="O108" s="34">
        <f>IF($A108="",NA(),IF(E108&gt;0,F108/E108,0))</f>
        <v/>
      </c>
      <c r="P108" s="34">
        <f>IF($A108="",NA(),IF(K108+L108&gt;0,K108/(K108+L108),0.5))</f>
        <v/>
      </c>
      <c r="Q108" s="34">
        <f>IF($A108="",NA(),1-P108)</f>
        <v/>
      </c>
      <c r="R108" s="33">
        <f>IF($A108="",NA(),MAX(0,E108-F108)*IF(G108&gt;0,H108/G108,COMPAREC_PAD)*IF(I108&gt;0,J108/I108,VALIDOS_PAD))</f>
        <v/>
      </c>
      <c r="S108" s="34">
        <f>IF($A108="",NA(),IF(R108&gt;0,0.5-(K108-L108)/(2*R108),0))</f>
        <v/>
      </c>
      <c r="T108" s="34">
        <f>IF($A108="",NA(),IF(R108&lt;=0,IF(K108&gt;L108,1,IF(K108&lt;L108,0,0.5)),1-NORMDIST(S108,P108+AJUSTE,SIGMA,TRUE)))</f>
        <v/>
      </c>
      <c r="U108" s="34">
        <f>IF($A108="",NA(),1-T108)</f>
        <v/>
      </c>
    </row>
    <row r="109"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N109" s="34">
        <f>IF($A109="",NA(),IF(C109&gt;0,D109/C109,0))</f>
        <v/>
      </c>
      <c r="O109" s="34">
        <f>IF($A109="",NA(),IF(E109&gt;0,F109/E109,0))</f>
        <v/>
      </c>
      <c r="P109" s="34">
        <f>IF($A109="",NA(),IF(K109+L109&gt;0,K109/(K109+L109),0.5))</f>
        <v/>
      </c>
      <c r="Q109" s="34">
        <f>IF($A109="",NA(),1-P109)</f>
        <v/>
      </c>
      <c r="R109" s="33">
        <f>IF($A109="",NA(),MAX(0,E109-F109)*IF(G109&gt;0,H109/G109,COMPAREC_PAD)*IF(I109&gt;0,J109/I109,VALIDOS_PAD))</f>
        <v/>
      </c>
      <c r="S109" s="34">
        <f>IF($A109="",NA(),IF(R109&gt;0,0.5-(K109-L109)/(2*R109),0))</f>
        <v/>
      </c>
      <c r="T109" s="34">
        <f>IF($A109="",NA(),IF(R109&lt;=0,IF(K109&gt;L109,1,IF(K109&lt;L109,0,0.5)),1-NORMDIST(S109,P109+AJUSTE,SIGMA,TRUE)))</f>
        <v/>
      </c>
      <c r="U109" s="34">
        <f>IF($A109="",NA(),1-T109)</f>
        <v/>
      </c>
    </row>
    <row r="110"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N110" s="34">
        <f>IF($A110="",NA(),IF(C110&gt;0,D110/C110,0))</f>
        <v/>
      </c>
      <c r="O110" s="34">
        <f>IF($A110="",NA(),IF(E110&gt;0,F110/E110,0))</f>
        <v/>
      </c>
      <c r="P110" s="34">
        <f>IF($A110="",NA(),IF(K110+L110&gt;0,K110/(K110+L110),0.5))</f>
        <v/>
      </c>
      <c r="Q110" s="34">
        <f>IF($A110="",NA(),1-P110)</f>
        <v/>
      </c>
      <c r="R110" s="33">
        <f>IF($A110="",NA(),MAX(0,E110-F110)*IF(G110&gt;0,H110/G110,COMPAREC_PAD)*IF(I110&gt;0,J110/I110,VALIDOS_PAD))</f>
        <v/>
      </c>
      <c r="S110" s="34">
        <f>IF($A110="",NA(),IF(R110&gt;0,0.5-(K110-L110)/(2*R110),0))</f>
        <v/>
      </c>
      <c r="T110" s="34">
        <f>IF($A110="",NA(),IF(R110&lt;=0,IF(K110&gt;L110,1,IF(K110&lt;L110,0,0.5)),1-NORMDIST(S110,P110+AJUSTE,SIGMA,TRUE)))</f>
        <v/>
      </c>
      <c r="U110" s="34">
        <f>IF($A110="",NA(),1-T110)</f>
        <v/>
      </c>
    </row>
    <row r="111"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N111" s="34">
        <f>IF($A111="",NA(),IF(C111&gt;0,D111/C111,0))</f>
        <v/>
      </c>
      <c r="O111" s="34">
        <f>IF($A111="",NA(),IF(E111&gt;0,F111/E111,0))</f>
        <v/>
      </c>
      <c r="P111" s="34">
        <f>IF($A111="",NA(),IF(K111+L111&gt;0,K111/(K111+L111),0.5))</f>
        <v/>
      </c>
      <c r="Q111" s="34">
        <f>IF($A111="",NA(),1-P111)</f>
        <v/>
      </c>
      <c r="R111" s="33">
        <f>IF($A111="",NA(),MAX(0,E111-F111)*IF(G111&gt;0,H111/G111,COMPAREC_PAD)*IF(I111&gt;0,J111/I111,VALIDOS_PAD))</f>
        <v/>
      </c>
      <c r="S111" s="34">
        <f>IF($A111="",NA(),IF(R111&gt;0,0.5-(K111-L111)/(2*R111),0))</f>
        <v/>
      </c>
      <c r="T111" s="34">
        <f>IF($A111="",NA(),IF(R111&lt;=0,IF(K111&gt;L111,1,IF(K111&lt;L111,0,0.5)),1-NORMDIST(S111,P111+AJUSTE,SIGMA,TRUE)))</f>
        <v/>
      </c>
      <c r="U111" s="34">
        <f>IF($A111="",NA(),1-T111)</f>
        <v/>
      </c>
    </row>
    <row r="112"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N112" s="34">
        <f>IF($A112="",NA(),IF(C112&gt;0,D112/C112,0))</f>
        <v/>
      </c>
      <c r="O112" s="34">
        <f>IF($A112="",NA(),IF(E112&gt;0,F112/E112,0))</f>
        <v/>
      </c>
      <c r="P112" s="34">
        <f>IF($A112="",NA(),IF(K112+L112&gt;0,K112/(K112+L112),0.5))</f>
        <v/>
      </c>
      <c r="Q112" s="34">
        <f>IF($A112="",NA(),1-P112)</f>
        <v/>
      </c>
      <c r="R112" s="33">
        <f>IF($A112="",NA(),MAX(0,E112-F112)*IF(G112&gt;0,H112/G112,COMPAREC_PAD)*IF(I112&gt;0,J112/I112,VALIDOS_PAD))</f>
        <v/>
      </c>
      <c r="S112" s="34">
        <f>IF($A112="",NA(),IF(R112&gt;0,0.5-(K112-L112)/(2*R112),0))</f>
        <v/>
      </c>
      <c r="T112" s="34">
        <f>IF($A112="",NA(),IF(R112&lt;=0,IF(K112&gt;L112,1,IF(K112&lt;L112,0,0.5)),1-NORMDIST(S112,P112+AJUSTE,SIGMA,TRUE)))</f>
        <v/>
      </c>
      <c r="U112" s="34">
        <f>IF($A112="",NA(),1-T112)</f>
        <v/>
      </c>
    </row>
    <row r="113"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N113" s="34">
        <f>IF($A113="",NA(),IF(C113&gt;0,D113/C113,0))</f>
        <v/>
      </c>
      <c r="O113" s="34">
        <f>IF($A113="",NA(),IF(E113&gt;0,F113/E113,0))</f>
        <v/>
      </c>
      <c r="P113" s="34">
        <f>IF($A113="",NA(),IF(K113+L113&gt;0,K113/(K113+L113),0.5))</f>
        <v/>
      </c>
      <c r="Q113" s="34">
        <f>IF($A113="",NA(),1-P113)</f>
        <v/>
      </c>
      <c r="R113" s="33">
        <f>IF($A113="",NA(),MAX(0,E113-F113)*IF(G113&gt;0,H113/G113,COMPAREC_PAD)*IF(I113&gt;0,J113/I113,VALIDOS_PAD))</f>
        <v/>
      </c>
      <c r="S113" s="34">
        <f>IF($A113="",NA(),IF(R113&gt;0,0.5-(K113-L113)/(2*R113),0))</f>
        <v/>
      </c>
      <c r="T113" s="34">
        <f>IF($A113="",NA(),IF(R113&lt;=0,IF(K113&gt;L113,1,IF(K113&lt;L113,0,0.5)),1-NORMDIST(S113,P113+AJUSTE,SIGMA,TRUE)))</f>
        <v/>
      </c>
      <c r="U113" s="34">
        <f>IF($A113="",NA(),1-T113)</f>
        <v/>
      </c>
    </row>
    <row r="114"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N114" s="34">
        <f>IF($A114="",NA(),IF(C114&gt;0,D114/C114,0))</f>
        <v/>
      </c>
      <c r="O114" s="34">
        <f>IF($A114="",NA(),IF(E114&gt;0,F114/E114,0))</f>
        <v/>
      </c>
      <c r="P114" s="34">
        <f>IF($A114="",NA(),IF(K114+L114&gt;0,K114/(K114+L114),0.5))</f>
        <v/>
      </c>
      <c r="Q114" s="34">
        <f>IF($A114="",NA(),1-P114)</f>
        <v/>
      </c>
      <c r="R114" s="33">
        <f>IF($A114="",NA(),MAX(0,E114-F114)*IF(G114&gt;0,H114/G114,COMPAREC_PAD)*IF(I114&gt;0,J114/I114,VALIDOS_PAD))</f>
        <v/>
      </c>
      <c r="S114" s="34">
        <f>IF($A114="",NA(),IF(R114&gt;0,0.5-(K114-L114)/(2*R114),0))</f>
        <v/>
      </c>
      <c r="T114" s="34">
        <f>IF($A114="",NA(),IF(R114&lt;=0,IF(K114&gt;L114,1,IF(K114&lt;L114,0,0.5)),1-NORMDIST(S114,P114+AJUSTE,SIGMA,TRUE)))</f>
        <v/>
      </c>
      <c r="U114" s="34">
        <f>IF($A114="",NA(),1-T114)</f>
        <v/>
      </c>
    </row>
    <row r="115"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N115" s="34">
        <f>IF($A115="",NA(),IF(C115&gt;0,D115/C115,0))</f>
        <v/>
      </c>
      <c r="O115" s="34">
        <f>IF($A115="",NA(),IF(E115&gt;0,F115/E115,0))</f>
        <v/>
      </c>
      <c r="P115" s="34">
        <f>IF($A115="",NA(),IF(K115+L115&gt;0,K115/(K115+L115),0.5))</f>
        <v/>
      </c>
      <c r="Q115" s="34">
        <f>IF($A115="",NA(),1-P115)</f>
        <v/>
      </c>
      <c r="R115" s="33">
        <f>IF($A115="",NA(),MAX(0,E115-F115)*IF(G115&gt;0,H115/G115,COMPAREC_PAD)*IF(I115&gt;0,J115/I115,VALIDOS_PAD))</f>
        <v/>
      </c>
      <c r="S115" s="34">
        <f>IF($A115="",NA(),IF(R115&gt;0,0.5-(K115-L115)/(2*R115),0))</f>
        <v/>
      </c>
      <c r="T115" s="34">
        <f>IF($A115="",NA(),IF(R115&lt;=0,IF(K115&gt;L115,1,IF(K115&lt;L115,0,0.5)),1-NORMDIST(S115,P115+AJUSTE,SIGMA,TRUE)))</f>
        <v/>
      </c>
      <c r="U115" s="34">
        <f>IF($A115="",NA(),1-T115)</f>
        <v/>
      </c>
    </row>
    <row r="116"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N116" s="34">
        <f>IF($A116="",NA(),IF(C116&gt;0,D116/C116,0))</f>
        <v/>
      </c>
      <c r="O116" s="34">
        <f>IF($A116="",NA(),IF(E116&gt;0,F116/E116,0))</f>
        <v/>
      </c>
      <c r="P116" s="34">
        <f>IF($A116="",NA(),IF(K116+L116&gt;0,K116/(K116+L116),0.5))</f>
        <v/>
      </c>
      <c r="Q116" s="34">
        <f>IF($A116="",NA(),1-P116)</f>
        <v/>
      </c>
      <c r="R116" s="33">
        <f>IF($A116="",NA(),MAX(0,E116-F116)*IF(G116&gt;0,H116/G116,COMPAREC_PAD)*IF(I116&gt;0,J116/I116,VALIDOS_PAD))</f>
        <v/>
      </c>
      <c r="S116" s="34">
        <f>IF($A116="",NA(),IF(R116&gt;0,0.5-(K116-L116)/(2*R116),0))</f>
        <v/>
      </c>
      <c r="T116" s="34">
        <f>IF($A116="",NA(),IF(R116&lt;=0,IF(K116&gt;L116,1,IF(K116&lt;L116,0,0.5)),1-NORMDIST(S116,P116+AJUSTE,SIGMA,TRUE)))</f>
        <v/>
      </c>
      <c r="U116" s="34">
        <f>IF($A116="",NA(),1-T116)</f>
        <v/>
      </c>
    </row>
    <row r="117"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N117" s="34">
        <f>IF($A117="",NA(),IF(C117&gt;0,D117/C117,0))</f>
        <v/>
      </c>
      <c r="O117" s="34">
        <f>IF($A117="",NA(),IF(E117&gt;0,F117/E117,0))</f>
        <v/>
      </c>
      <c r="P117" s="34">
        <f>IF($A117="",NA(),IF(K117+L117&gt;0,K117/(K117+L117),0.5))</f>
        <v/>
      </c>
      <c r="Q117" s="34">
        <f>IF($A117="",NA(),1-P117)</f>
        <v/>
      </c>
      <c r="R117" s="33">
        <f>IF($A117="",NA(),MAX(0,E117-F117)*IF(G117&gt;0,H117/G117,COMPAREC_PAD)*IF(I117&gt;0,J117/I117,VALIDOS_PAD))</f>
        <v/>
      </c>
      <c r="S117" s="34">
        <f>IF($A117="",NA(),IF(R117&gt;0,0.5-(K117-L117)/(2*R117),0))</f>
        <v/>
      </c>
      <c r="T117" s="34">
        <f>IF($A117="",NA(),IF(R117&lt;=0,IF(K117&gt;L117,1,IF(K117&lt;L117,0,0.5)),1-NORMDIST(S117,P117+AJUSTE,SIGMA,TRUE)))</f>
        <v/>
      </c>
      <c r="U117" s="34">
        <f>IF($A117="",NA(),1-T117)</f>
        <v/>
      </c>
    </row>
    <row r="118"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N118" s="34">
        <f>IF($A118="",NA(),IF(C118&gt;0,D118/C118,0))</f>
        <v/>
      </c>
      <c r="O118" s="34">
        <f>IF($A118="",NA(),IF(E118&gt;0,F118/E118,0))</f>
        <v/>
      </c>
      <c r="P118" s="34">
        <f>IF($A118="",NA(),IF(K118+L118&gt;0,K118/(K118+L118),0.5))</f>
        <v/>
      </c>
      <c r="Q118" s="34">
        <f>IF($A118="",NA(),1-P118)</f>
        <v/>
      </c>
      <c r="R118" s="33">
        <f>IF($A118="",NA(),MAX(0,E118-F118)*IF(G118&gt;0,H118/G118,COMPAREC_PAD)*IF(I118&gt;0,J118/I118,VALIDOS_PAD))</f>
        <v/>
      </c>
      <c r="S118" s="34">
        <f>IF($A118="",NA(),IF(R118&gt;0,0.5-(K118-L118)/(2*R118),0))</f>
        <v/>
      </c>
      <c r="T118" s="34">
        <f>IF($A118="",NA(),IF(R118&lt;=0,IF(K118&gt;L118,1,IF(K118&lt;L118,0,0.5)),1-NORMDIST(S118,P118+AJUSTE,SIGMA,TRUE)))</f>
        <v/>
      </c>
      <c r="U118" s="34">
        <f>IF($A118="",NA(),1-T118)</f>
        <v/>
      </c>
    </row>
    <row r="119"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N119" s="34">
        <f>IF($A119="",NA(),IF(C119&gt;0,D119/C119,0))</f>
        <v/>
      </c>
      <c r="O119" s="34">
        <f>IF($A119="",NA(),IF(E119&gt;0,F119/E119,0))</f>
        <v/>
      </c>
      <c r="P119" s="34">
        <f>IF($A119="",NA(),IF(K119+L119&gt;0,K119/(K119+L119),0.5))</f>
        <v/>
      </c>
      <c r="Q119" s="34">
        <f>IF($A119="",NA(),1-P119)</f>
        <v/>
      </c>
      <c r="R119" s="33">
        <f>IF($A119="",NA(),MAX(0,E119-F119)*IF(G119&gt;0,H119/G119,COMPAREC_PAD)*IF(I119&gt;0,J119/I119,VALIDOS_PAD))</f>
        <v/>
      </c>
      <c r="S119" s="34">
        <f>IF($A119="",NA(),IF(R119&gt;0,0.5-(K119-L119)/(2*R119),0))</f>
        <v/>
      </c>
      <c r="T119" s="34">
        <f>IF($A119="",NA(),IF(R119&lt;=0,IF(K119&gt;L119,1,IF(K119&lt;L119,0,0.5)),1-NORMDIST(S119,P119+AJUSTE,SIGMA,TRUE)))</f>
        <v/>
      </c>
      <c r="U119" s="34">
        <f>IF($A119="",NA(),1-T119)</f>
        <v/>
      </c>
    </row>
    <row r="120"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N120" s="34">
        <f>IF($A120="",NA(),IF(C120&gt;0,D120/C120,0))</f>
        <v/>
      </c>
      <c r="O120" s="34">
        <f>IF($A120="",NA(),IF(E120&gt;0,F120/E120,0))</f>
        <v/>
      </c>
      <c r="P120" s="34">
        <f>IF($A120="",NA(),IF(K120+L120&gt;0,K120/(K120+L120),0.5))</f>
        <v/>
      </c>
      <c r="Q120" s="34">
        <f>IF($A120="",NA(),1-P120)</f>
        <v/>
      </c>
      <c r="R120" s="33">
        <f>IF($A120="",NA(),MAX(0,E120-F120)*IF(G120&gt;0,H120/G120,COMPAREC_PAD)*IF(I120&gt;0,J120/I120,VALIDOS_PAD))</f>
        <v/>
      </c>
      <c r="S120" s="34">
        <f>IF($A120="",NA(),IF(R120&gt;0,0.5-(K120-L120)/(2*R120),0))</f>
        <v/>
      </c>
      <c r="T120" s="34">
        <f>IF($A120="",NA(),IF(R120&lt;=0,IF(K120&gt;L120,1,IF(K120&lt;L120,0,0.5)),1-NORMDIST(S120,P120+AJUSTE,SIGMA,TRUE)))</f>
        <v/>
      </c>
      <c r="U120" s="34">
        <f>IF($A120="",NA(),1-T120)</f>
        <v/>
      </c>
    </row>
    <row r="121"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N121" s="34">
        <f>IF($A121="",NA(),IF(C121&gt;0,D121/C121,0))</f>
        <v/>
      </c>
      <c r="O121" s="34">
        <f>IF($A121="",NA(),IF(E121&gt;0,F121/E121,0))</f>
        <v/>
      </c>
      <c r="P121" s="34">
        <f>IF($A121="",NA(),IF(K121+L121&gt;0,K121/(K121+L121),0.5))</f>
        <v/>
      </c>
      <c r="Q121" s="34">
        <f>IF($A121="",NA(),1-P121)</f>
        <v/>
      </c>
      <c r="R121" s="33">
        <f>IF($A121="",NA(),MAX(0,E121-F121)*IF(G121&gt;0,H121/G121,COMPAREC_PAD)*IF(I121&gt;0,J121/I121,VALIDOS_PAD))</f>
        <v/>
      </c>
      <c r="S121" s="34">
        <f>IF($A121="",NA(),IF(R121&gt;0,0.5-(K121-L121)/(2*R121),0))</f>
        <v/>
      </c>
      <c r="T121" s="34">
        <f>IF($A121="",NA(),IF(R121&lt;=0,IF(K121&gt;L121,1,IF(K121&lt;L121,0,0.5)),1-NORMDIST(S121,P121+AJUSTE,SIGMA,TRUE)))</f>
        <v/>
      </c>
      <c r="U121" s="34">
        <f>IF($A121="",NA(),1-T121)</f>
        <v/>
      </c>
    </row>
    <row r="122"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N122" s="34">
        <f>IF($A122="",NA(),IF(C122&gt;0,D122/C122,0))</f>
        <v/>
      </c>
      <c r="O122" s="34">
        <f>IF($A122="",NA(),IF(E122&gt;0,F122/E122,0))</f>
        <v/>
      </c>
      <c r="P122" s="34">
        <f>IF($A122="",NA(),IF(K122+L122&gt;0,K122/(K122+L122),0.5))</f>
        <v/>
      </c>
      <c r="Q122" s="34">
        <f>IF($A122="",NA(),1-P122)</f>
        <v/>
      </c>
      <c r="R122" s="33">
        <f>IF($A122="",NA(),MAX(0,E122-F122)*IF(G122&gt;0,H122/G122,COMPAREC_PAD)*IF(I122&gt;0,J122/I122,VALIDOS_PAD))</f>
        <v/>
      </c>
      <c r="S122" s="34">
        <f>IF($A122="",NA(),IF(R122&gt;0,0.5-(K122-L122)/(2*R122),0))</f>
        <v/>
      </c>
      <c r="T122" s="34">
        <f>IF($A122="",NA(),IF(R122&lt;=0,IF(K122&gt;L122,1,IF(K122&lt;L122,0,0.5)),1-NORMDIST(S122,P122+AJUSTE,SIGMA,TRUE)))</f>
        <v/>
      </c>
      <c r="U122" s="34">
        <f>IF($A122="",NA(),1-T122)</f>
        <v/>
      </c>
    </row>
    <row r="123"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N123" s="34">
        <f>IF($A123="",NA(),IF(C123&gt;0,D123/C123,0))</f>
        <v/>
      </c>
      <c r="O123" s="34">
        <f>IF($A123="",NA(),IF(E123&gt;0,F123/E123,0))</f>
        <v/>
      </c>
      <c r="P123" s="34">
        <f>IF($A123="",NA(),IF(K123+L123&gt;0,K123/(K123+L123),0.5))</f>
        <v/>
      </c>
      <c r="Q123" s="34">
        <f>IF($A123="",NA(),1-P123)</f>
        <v/>
      </c>
      <c r="R123" s="33">
        <f>IF($A123="",NA(),MAX(0,E123-F123)*IF(G123&gt;0,H123/G123,COMPAREC_PAD)*IF(I123&gt;0,J123/I123,VALIDOS_PAD))</f>
        <v/>
      </c>
      <c r="S123" s="34">
        <f>IF($A123="",NA(),IF(R123&gt;0,0.5-(K123-L123)/(2*R123),0))</f>
        <v/>
      </c>
      <c r="T123" s="34">
        <f>IF($A123="",NA(),IF(R123&lt;=0,IF(K123&gt;L123,1,IF(K123&lt;L123,0,0.5)),1-NORMDIST(S123,P123+AJUSTE,SIGMA,TRUE)))</f>
        <v/>
      </c>
      <c r="U123" s="34">
        <f>IF($A123="",NA(),1-T123)</f>
        <v/>
      </c>
    </row>
    <row r="124"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N124" s="34">
        <f>IF($A124="",NA(),IF(C124&gt;0,D124/C124,0))</f>
        <v/>
      </c>
      <c r="O124" s="34">
        <f>IF($A124="",NA(),IF(E124&gt;0,F124/E124,0))</f>
        <v/>
      </c>
      <c r="P124" s="34">
        <f>IF($A124="",NA(),IF(K124+L124&gt;0,K124/(K124+L124),0.5))</f>
        <v/>
      </c>
      <c r="Q124" s="34">
        <f>IF($A124="",NA(),1-P124)</f>
        <v/>
      </c>
      <c r="R124" s="33">
        <f>IF($A124="",NA(),MAX(0,E124-F124)*IF(G124&gt;0,H124/G124,COMPAREC_PAD)*IF(I124&gt;0,J124/I124,VALIDOS_PAD))</f>
        <v/>
      </c>
      <c r="S124" s="34">
        <f>IF($A124="",NA(),IF(R124&gt;0,0.5-(K124-L124)/(2*R124),0))</f>
        <v/>
      </c>
      <c r="T124" s="34">
        <f>IF($A124="",NA(),IF(R124&lt;=0,IF(K124&gt;L124,1,IF(K124&lt;L124,0,0.5)),1-NORMDIST(S124,P124+AJUSTE,SIGMA,TRUE)))</f>
        <v/>
      </c>
      <c r="U124" s="34">
        <f>IF($A124="",NA(),1-T124)</f>
        <v/>
      </c>
    </row>
    <row r="125"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N125" s="34">
        <f>IF($A125="",NA(),IF(C125&gt;0,D125/C125,0))</f>
        <v/>
      </c>
      <c r="O125" s="34">
        <f>IF($A125="",NA(),IF(E125&gt;0,F125/E125,0))</f>
        <v/>
      </c>
      <c r="P125" s="34">
        <f>IF($A125="",NA(),IF(K125+L125&gt;0,K125/(K125+L125),0.5))</f>
        <v/>
      </c>
      <c r="Q125" s="34">
        <f>IF($A125="",NA(),1-P125)</f>
        <v/>
      </c>
      <c r="R125" s="33">
        <f>IF($A125="",NA(),MAX(0,E125-F125)*IF(G125&gt;0,H125/G125,COMPAREC_PAD)*IF(I125&gt;0,J125/I125,VALIDOS_PAD))</f>
        <v/>
      </c>
      <c r="S125" s="34">
        <f>IF($A125="",NA(),IF(R125&gt;0,0.5-(K125-L125)/(2*R125),0))</f>
        <v/>
      </c>
      <c r="T125" s="34">
        <f>IF($A125="",NA(),IF(R125&lt;=0,IF(K125&gt;L125,1,IF(K125&lt;L125,0,0.5)),1-NORMDIST(S125,P125+AJUSTE,SIGMA,TRUE)))</f>
        <v/>
      </c>
      <c r="U125" s="34">
        <f>IF($A125="",NA(),1-T125)</f>
        <v/>
      </c>
    </row>
    <row r="126"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N126" s="34">
        <f>IF($A126="",NA(),IF(C126&gt;0,D126/C126,0))</f>
        <v/>
      </c>
      <c r="O126" s="34">
        <f>IF($A126="",NA(),IF(E126&gt;0,F126/E126,0))</f>
        <v/>
      </c>
      <c r="P126" s="34">
        <f>IF($A126="",NA(),IF(K126+L126&gt;0,K126/(K126+L126),0.5))</f>
        <v/>
      </c>
      <c r="Q126" s="34">
        <f>IF($A126="",NA(),1-P126)</f>
        <v/>
      </c>
      <c r="R126" s="33">
        <f>IF($A126="",NA(),MAX(0,E126-F126)*IF(G126&gt;0,H126/G126,COMPAREC_PAD)*IF(I126&gt;0,J126/I126,VALIDOS_PAD))</f>
        <v/>
      </c>
      <c r="S126" s="34">
        <f>IF($A126="",NA(),IF(R126&gt;0,0.5-(K126-L126)/(2*R126),0))</f>
        <v/>
      </c>
      <c r="T126" s="34">
        <f>IF($A126="",NA(),IF(R126&lt;=0,IF(K126&gt;L126,1,IF(K126&lt;L126,0,0.5)),1-NORMDIST(S126,P126+AJUSTE,SIGMA,TRUE)))</f>
        <v/>
      </c>
      <c r="U126" s="34">
        <f>IF($A126="",NA(),1-T126)</f>
        <v/>
      </c>
    </row>
    <row r="127"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N127" s="34">
        <f>IF($A127="",NA(),IF(C127&gt;0,D127/C127,0))</f>
        <v/>
      </c>
      <c r="O127" s="34">
        <f>IF($A127="",NA(),IF(E127&gt;0,F127/E127,0))</f>
        <v/>
      </c>
      <c r="P127" s="34">
        <f>IF($A127="",NA(),IF(K127+L127&gt;0,K127/(K127+L127),0.5))</f>
        <v/>
      </c>
      <c r="Q127" s="34">
        <f>IF($A127="",NA(),1-P127)</f>
        <v/>
      </c>
      <c r="R127" s="33">
        <f>IF($A127="",NA(),MAX(0,E127-F127)*IF(G127&gt;0,H127/G127,COMPAREC_PAD)*IF(I127&gt;0,J127/I127,VALIDOS_PAD))</f>
        <v/>
      </c>
      <c r="S127" s="34">
        <f>IF($A127="",NA(),IF(R127&gt;0,0.5-(K127-L127)/(2*R127),0))</f>
        <v/>
      </c>
      <c r="T127" s="34">
        <f>IF($A127="",NA(),IF(R127&lt;=0,IF(K127&gt;L127,1,IF(K127&lt;L127,0,0.5)),1-NORMDIST(S127,P127+AJUSTE,SIGMA,TRUE)))</f>
        <v/>
      </c>
      <c r="U127" s="34">
        <f>IF($A127="",NA(),1-T127)</f>
        <v/>
      </c>
    </row>
    <row r="128"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N128" s="34">
        <f>IF($A128="",NA(),IF(C128&gt;0,D128/C128,0))</f>
        <v/>
      </c>
      <c r="O128" s="34">
        <f>IF($A128="",NA(),IF(E128&gt;0,F128/E128,0))</f>
        <v/>
      </c>
      <c r="P128" s="34">
        <f>IF($A128="",NA(),IF(K128+L128&gt;0,K128/(K128+L128),0.5))</f>
        <v/>
      </c>
      <c r="Q128" s="34">
        <f>IF($A128="",NA(),1-P128)</f>
        <v/>
      </c>
      <c r="R128" s="33">
        <f>IF($A128="",NA(),MAX(0,E128-F128)*IF(G128&gt;0,H128/G128,COMPAREC_PAD)*IF(I128&gt;0,J128/I128,VALIDOS_PAD))</f>
        <v/>
      </c>
      <c r="S128" s="34">
        <f>IF($A128="",NA(),IF(R128&gt;0,0.5-(K128-L128)/(2*R128),0))</f>
        <v/>
      </c>
      <c r="T128" s="34">
        <f>IF($A128="",NA(),IF(R128&lt;=0,IF(K128&gt;L128,1,IF(K128&lt;L128,0,0.5)),1-NORMDIST(S128,P128+AJUSTE,SIGMA,TRUE)))</f>
        <v/>
      </c>
      <c r="U128" s="34">
        <f>IF($A128="",NA(),1-T128)</f>
        <v/>
      </c>
    </row>
    <row r="129"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N129" s="34">
        <f>IF($A129="",NA(),IF(C129&gt;0,D129/C129,0))</f>
        <v/>
      </c>
      <c r="O129" s="34">
        <f>IF($A129="",NA(),IF(E129&gt;0,F129/E129,0))</f>
        <v/>
      </c>
      <c r="P129" s="34">
        <f>IF($A129="",NA(),IF(K129+L129&gt;0,K129/(K129+L129),0.5))</f>
        <v/>
      </c>
      <c r="Q129" s="34">
        <f>IF($A129="",NA(),1-P129)</f>
        <v/>
      </c>
      <c r="R129" s="33">
        <f>IF($A129="",NA(),MAX(0,E129-F129)*IF(G129&gt;0,H129/G129,COMPAREC_PAD)*IF(I129&gt;0,J129/I129,VALIDOS_PAD))</f>
        <v/>
      </c>
      <c r="S129" s="34">
        <f>IF($A129="",NA(),IF(R129&gt;0,0.5-(K129-L129)/(2*R129),0))</f>
        <v/>
      </c>
      <c r="T129" s="34">
        <f>IF($A129="",NA(),IF(R129&lt;=0,IF(K129&gt;L129,1,IF(K129&lt;L129,0,0.5)),1-NORMDIST(S129,P129+AJUSTE,SIGMA,TRUE)))</f>
        <v/>
      </c>
      <c r="U129" s="34">
        <f>IF($A129="",NA(),1-T129)</f>
        <v/>
      </c>
    </row>
    <row r="130"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N130" s="34">
        <f>IF($A130="",NA(),IF(C130&gt;0,D130/C130,0))</f>
        <v/>
      </c>
      <c r="O130" s="34">
        <f>IF($A130="",NA(),IF(E130&gt;0,F130/E130,0))</f>
        <v/>
      </c>
      <c r="P130" s="34">
        <f>IF($A130="",NA(),IF(K130+L130&gt;0,K130/(K130+L130),0.5))</f>
        <v/>
      </c>
      <c r="Q130" s="34">
        <f>IF($A130="",NA(),1-P130)</f>
        <v/>
      </c>
      <c r="R130" s="33">
        <f>IF($A130="",NA(),MAX(0,E130-F130)*IF(G130&gt;0,H130/G130,COMPAREC_PAD)*IF(I130&gt;0,J130/I130,VALIDOS_PAD))</f>
        <v/>
      </c>
      <c r="S130" s="34">
        <f>IF($A130="",NA(),IF(R130&gt;0,0.5-(K130-L130)/(2*R130),0))</f>
        <v/>
      </c>
      <c r="T130" s="34">
        <f>IF($A130="",NA(),IF(R130&lt;=0,IF(K130&gt;L130,1,IF(K130&lt;L130,0,0.5)),1-NORMDIST(S130,P130+AJUSTE,SIGMA,TRUE)))</f>
        <v/>
      </c>
      <c r="U130" s="34">
        <f>IF($A130="",NA(),1-T130)</f>
        <v/>
      </c>
    </row>
    <row r="131"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N131" s="34">
        <f>IF($A131="",NA(),IF(C131&gt;0,D131/C131,0))</f>
        <v/>
      </c>
      <c r="O131" s="34">
        <f>IF($A131="",NA(),IF(E131&gt;0,F131/E131,0))</f>
        <v/>
      </c>
      <c r="P131" s="34">
        <f>IF($A131="",NA(),IF(K131+L131&gt;0,K131/(K131+L131),0.5))</f>
        <v/>
      </c>
      <c r="Q131" s="34">
        <f>IF($A131="",NA(),1-P131)</f>
        <v/>
      </c>
      <c r="R131" s="33">
        <f>IF($A131="",NA(),MAX(0,E131-F131)*IF(G131&gt;0,H131/G131,COMPAREC_PAD)*IF(I131&gt;0,J131/I131,VALIDOS_PAD))</f>
        <v/>
      </c>
      <c r="S131" s="34">
        <f>IF($A131="",NA(),IF(R131&gt;0,0.5-(K131-L131)/(2*R131),0))</f>
        <v/>
      </c>
      <c r="T131" s="34">
        <f>IF($A131="",NA(),IF(R131&lt;=0,IF(K131&gt;L131,1,IF(K131&lt;L131,0,0.5)),1-NORMDIST(S131,P131+AJUSTE,SIGMA,TRUE)))</f>
        <v/>
      </c>
      <c r="U131" s="34">
        <f>IF($A131="",NA(),1-T131)</f>
        <v/>
      </c>
    </row>
    <row r="132"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N132" s="34">
        <f>IF($A132="",NA(),IF(C132&gt;0,D132/C132,0))</f>
        <v/>
      </c>
      <c r="O132" s="34">
        <f>IF($A132="",NA(),IF(E132&gt;0,F132/E132,0))</f>
        <v/>
      </c>
      <c r="P132" s="34">
        <f>IF($A132="",NA(),IF(K132+L132&gt;0,K132/(K132+L132),0.5))</f>
        <v/>
      </c>
      <c r="Q132" s="34">
        <f>IF($A132="",NA(),1-P132)</f>
        <v/>
      </c>
      <c r="R132" s="33">
        <f>IF($A132="",NA(),MAX(0,E132-F132)*IF(G132&gt;0,H132/G132,COMPAREC_PAD)*IF(I132&gt;0,J132/I132,VALIDOS_PAD))</f>
        <v/>
      </c>
      <c r="S132" s="34">
        <f>IF($A132="",NA(),IF(R132&gt;0,0.5-(K132-L132)/(2*R132),0))</f>
        <v/>
      </c>
      <c r="T132" s="34">
        <f>IF($A132="",NA(),IF(R132&lt;=0,IF(K132&gt;L132,1,IF(K132&lt;L132,0,0.5)),1-NORMDIST(S132,P132+AJUSTE,SIGMA,TRUE)))</f>
        <v/>
      </c>
      <c r="U132" s="34">
        <f>IF($A132="",NA(),1-T132)</f>
        <v/>
      </c>
    </row>
    <row r="133"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N133" s="34">
        <f>IF($A133="",NA(),IF(C133&gt;0,D133/C133,0))</f>
        <v/>
      </c>
      <c r="O133" s="34">
        <f>IF($A133="",NA(),IF(E133&gt;0,F133/E133,0))</f>
        <v/>
      </c>
      <c r="P133" s="34">
        <f>IF($A133="",NA(),IF(K133+L133&gt;0,K133/(K133+L133),0.5))</f>
        <v/>
      </c>
      <c r="Q133" s="34">
        <f>IF($A133="",NA(),1-P133)</f>
        <v/>
      </c>
      <c r="R133" s="33">
        <f>IF($A133="",NA(),MAX(0,E133-F133)*IF(G133&gt;0,H133/G133,COMPAREC_PAD)*IF(I133&gt;0,J133/I133,VALIDOS_PAD))</f>
        <v/>
      </c>
      <c r="S133" s="34">
        <f>IF($A133="",NA(),IF(R133&gt;0,0.5-(K133-L133)/(2*R133),0))</f>
        <v/>
      </c>
      <c r="T133" s="34">
        <f>IF($A133="",NA(),IF(R133&lt;=0,IF(K133&gt;L133,1,IF(K133&lt;L133,0,0.5)),1-NORMDIST(S133,P133+AJUSTE,SIGMA,TRUE)))</f>
        <v/>
      </c>
      <c r="U133" s="34">
        <f>IF($A133="",NA(),1-T133)</f>
        <v/>
      </c>
    </row>
    <row r="134"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N134" s="34">
        <f>IF($A134="",NA(),IF(C134&gt;0,D134/C134,0))</f>
        <v/>
      </c>
      <c r="O134" s="34">
        <f>IF($A134="",NA(),IF(E134&gt;0,F134/E134,0))</f>
        <v/>
      </c>
      <c r="P134" s="34">
        <f>IF($A134="",NA(),IF(K134+L134&gt;0,K134/(K134+L134),0.5))</f>
        <v/>
      </c>
      <c r="Q134" s="34">
        <f>IF($A134="",NA(),1-P134)</f>
        <v/>
      </c>
      <c r="R134" s="33">
        <f>IF($A134="",NA(),MAX(0,E134-F134)*IF(G134&gt;0,H134/G134,COMPAREC_PAD)*IF(I134&gt;0,J134/I134,VALIDOS_PAD))</f>
        <v/>
      </c>
      <c r="S134" s="34">
        <f>IF($A134="",NA(),IF(R134&gt;0,0.5-(K134-L134)/(2*R134),0))</f>
        <v/>
      </c>
      <c r="T134" s="34">
        <f>IF($A134="",NA(),IF(R134&lt;=0,IF(K134&gt;L134,1,IF(K134&lt;L134,0,0.5)),1-NORMDIST(S134,P134+AJUSTE,SIGMA,TRUE)))</f>
        <v/>
      </c>
      <c r="U134" s="34">
        <f>IF($A134="",NA(),1-T134)</f>
        <v/>
      </c>
    </row>
    <row r="135"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N135" s="34">
        <f>IF($A135="",NA(),IF(C135&gt;0,D135/C135,0))</f>
        <v/>
      </c>
      <c r="O135" s="34">
        <f>IF($A135="",NA(),IF(E135&gt;0,F135/E135,0))</f>
        <v/>
      </c>
      <c r="P135" s="34">
        <f>IF($A135="",NA(),IF(K135+L135&gt;0,K135/(K135+L135),0.5))</f>
        <v/>
      </c>
      <c r="Q135" s="34">
        <f>IF($A135="",NA(),1-P135)</f>
        <v/>
      </c>
      <c r="R135" s="33">
        <f>IF($A135="",NA(),MAX(0,E135-F135)*IF(G135&gt;0,H135/G135,COMPAREC_PAD)*IF(I135&gt;0,J135/I135,VALIDOS_PAD))</f>
        <v/>
      </c>
      <c r="S135" s="34">
        <f>IF($A135="",NA(),IF(R135&gt;0,0.5-(K135-L135)/(2*R135),0))</f>
        <v/>
      </c>
      <c r="T135" s="34">
        <f>IF($A135="",NA(),IF(R135&lt;=0,IF(K135&gt;L135,1,IF(K135&lt;L135,0,0.5)),1-NORMDIST(S135,P135+AJUSTE,SIGMA,TRUE)))</f>
        <v/>
      </c>
      <c r="U135" s="34">
        <f>IF($A135="",NA(),1-T135)</f>
        <v/>
      </c>
    </row>
    <row r="136"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N136" s="34">
        <f>IF($A136="",NA(),IF(C136&gt;0,D136/C136,0))</f>
        <v/>
      </c>
      <c r="O136" s="34">
        <f>IF($A136="",NA(),IF(E136&gt;0,F136/E136,0))</f>
        <v/>
      </c>
      <c r="P136" s="34">
        <f>IF($A136="",NA(),IF(K136+L136&gt;0,K136/(K136+L136),0.5))</f>
        <v/>
      </c>
      <c r="Q136" s="34">
        <f>IF($A136="",NA(),1-P136)</f>
        <v/>
      </c>
      <c r="R136" s="33">
        <f>IF($A136="",NA(),MAX(0,E136-F136)*IF(G136&gt;0,H136/G136,COMPAREC_PAD)*IF(I136&gt;0,J136/I136,VALIDOS_PAD))</f>
        <v/>
      </c>
      <c r="S136" s="34">
        <f>IF($A136="",NA(),IF(R136&gt;0,0.5-(K136-L136)/(2*R136),0))</f>
        <v/>
      </c>
      <c r="T136" s="34">
        <f>IF($A136="",NA(),IF(R136&lt;=0,IF(K136&gt;L136,1,IF(K136&lt;L136,0,0.5)),1-NORMDIST(S136,P136+AJUSTE,SIGMA,TRUE)))</f>
        <v/>
      </c>
      <c r="U136" s="34">
        <f>IF($A136="",NA(),1-T136)</f>
        <v/>
      </c>
    </row>
    <row r="137"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N137" s="34">
        <f>IF($A137="",NA(),IF(C137&gt;0,D137/C137,0))</f>
        <v/>
      </c>
      <c r="O137" s="34">
        <f>IF($A137="",NA(),IF(E137&gt;0,F137/E137,0))</f>
        <v/>
      </c>
      <c r="P137" s="34">
        <f>IF($A137="",NA(),IF(K137+L137&gt;0,K137/(K137+L137),0.5))</f>
        <v/>
      </c>
      <c r="Q137" s="34">
        <f>IF($A137="",NA(),1-P137)</f>
        <v/>
      </c>
      <c r="R137" s="33">
        <f>IF($A137="",NA(),MAX(0,E137-F137)*IF(G137&gt;0,H137/G137,COMPAREC_PAD)*IF(I137&gt;0,J137/I137,VALIDOS_PAD))</f>
        <v/>
      </c>
      <c r="S137" s="34">
        <f>IF($A137="",NA(),IF(R137&gt;0,0.5-(K137-L137)/(2*R137),0))</f>
        <v/>
      </c>
      <c r="T137" s="34">
        <f>IF($A137="",NA(),IF(R137&lt;=0,IF(K137&gt;L137,1,IF(K137&lt;L137,0,0.5)),1-NORMDIST(S137,P137+AJUSTE,SIGMA,TRUE)))</f>
        <v/>
      </c>
      <c r="U137" s="34">
        <f>IF($A137="",NA(),1-T137)</f>
        <v/>
      </c>
    </row>
    <row r="138"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N138" s="34">
        <f>IF($A138="",NA(),IF(C138&gt;0,D138/C138,0))</f>
        <v/>
      </c>
      <c r="O138" s="34">
        <f>IF($A138="",NA(),IF(E138&gt;0,F138/E138,0))</f>
        <v/>
      </c>
      <c r="P138" s="34">
        <f>IF($A138="",NA(),IF(K138+L138&gt;0,K138/(K138+L138),0.5))</f>
        <v/>
      </c>
      <c r="Q138" s="34">
        <f>IF($A138="",NA(),1-P138)</f>
        <v/>
      </c>
      <c r="R138" s="33">
        <f>IF($A138="",NA(),MAX(0,E138-F138)*IF(G138&gt;0,H138/G138,COMPAREC_PAD)*IF(I138&gt;0,J138/I138,VALIDOS_PAD))</f>
        <v/>
      </c>
      <c r="S138" s="34">
        <f>IF($A138="",NA(),IF(R138&gt;0,0.5-(K138-L138)/(2*R138),0))</f>
        <v/>
      </c>
      <c r="T138" s="34">
        <f>IF($A138="",NA(),IF(R138&lt;=0,IF(K138&gt;L138,1,IF(K138&lt;L138,0,0.5)),1-NORMDIST(S138,P138+AJUSTE,SIGMA,TRUE)))</f>
        <v/>
      </c>
      <c r="U138" s="34">
        <f>IF($A138="",NA(),1-T138)</f>
        <v/>
      </c>
    </row>
    <row r="139"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N139" s="34">
        <f>IF($A139="",NA(),IF(C139&gt;0,D139/C139,0))</f>
        <v/>
      </c>
      <c r="O139" s="34">
        <f>IF($A139="",NA(),IF(E139&gt;0,F139/E139,0))</f>
        <v/>
      </c>
      <c r="P139" s="34">
        <f>IF($A139="",NA(),IF(K139+L139&gt;0,K139/(K139+L139),0.5))</f>
        <v/>
      </c>
      <c r="Q139" s="34">
        <f>IF($A139="",NA(),1-P139)</f>
        <v/>
      </c>
      <c r="R139" s="33">
        <f>IF($A139="",NA(),MAX(0,E139-F139)*IF(G139&gt;0,H139/G139,COMPAREC_PAD)*IF(I139&gt;0,J139/I139,VALIDOS_PAD))</f>
        <v/>
      </c>
      <c r="S139" s="34">
        <f>IF($A139="",NA(),IF(R139&gt;0,0.5-(K139-L139)/(2*R139),0))</f>
        <v/>
      </c>
      <c r="T139" s="34">
        <f>IF($A139="",NA(),IF(R139&lt;=0,IF(K139&gt;L139,1,IF(K139&lt;L139,0,0.5)),1-NORMDIST(S139,P139+AJUSTE,SIGMA,TRUE)))</f>
        <v/>
      </c>
      <c r="U139" s="34">
        <f>IF($A139="",NA(),1-T139)</f>
        <v/>
      </c>
    </row>
    <row r="140"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N140" s="34">
        <f>IF($A140="",NA(),IF(C140&gt;0,D140/C140,0))</f>
        <v/>
      </c>
      <c r="O140" s="34">
        <f>IF($A140="",NA(),IF(E140&gt;0,F140/E140,0))</f>
        <v/>
      </c>
      <c r="P140" s="34">
        <f>IF($A140="",NA(),IF(K140+L140&gt;0,K140/(K140+L140),0.5))</f>
        <v/>
      </c>
      <c r="Q140" s="34">
        <f>IF($A140="",NA(),1-P140)</f>
        <v/>
      </c>
      <c r="R140" s="33">
        <f>IF($A140="",NA(),MAX(0,E140-F140)*IF(G140&gt;0,H140/G140,COMPAREC_PAD)*IF(I140&gt;0,J140/I140,VALIDOS_PAD))</f>
        <v/>
      </c>
      <c r="S140" s="34">
        <f>IF($A140="",NA(),IF(R140&gt;0,0.5-(K140-L140)/(2*R140),0))</f>
        <v/>
      </c>
      <c r="T140" s="34">
        <f>IF($A140="",NA(),IF(R140&lt;=0,IF(K140&gt;L140,1,IF(K140&lt;L140,0,0.5)),1-NORMDIST(S140,P140+AJUSTE,SIGMA,TRUE)))</f>
        <v/>
      </c>
      <c r="U140" s="34">
        <f>IF($A140="",NA(),1-T140)</f>
        <v/>
      </c>
    </row>
    <row r="141"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N141" s="34">
        <f>IF($A141="",NA(),IF(C141&gt;0,D141/C141,0))</f>
        <v/>
      </c>
      <c r="O141" s="34">
        <f>IF($A141="",NA(),IF(E141&gt;0,F141/E141,0))</f>
        <v/>
      </c>
      <c r="P141" s="34">
        <f>IF($A141="",NA(),IF(K141+L141&gt;0,K141/(K141+L141),0.5))</f>
        <v/>
      </c>
      <c r="Q141" s="34">
        <f>IF($A141="",NA(),1-P141)</f>
        <v/>
      </c>
      <c r="R141" s="33">
        <f>IF($A141="",NA(),MAX(0,E141-F141)*IF(G141&gt;0,H141/G141,COMPAREC_PAD)*IF(I141&gt;0,J141/I141,VALIDOS_PAD))</f>
        <v/>
      </c>
      <c r="S141" s="34">
        <f>IF($A141="",NA(),IF(R141&gt;0,0.5-(K141-L141)/(2*R141),0))</f>
        <v/>
      </c>
      <c r="T141" s="34">
        <f>IF($A141="",NA(),IF(R141&lt;=0,IF(K141&gt;L141,1,IF(K141&lt;L141,0,0.5)),1-NORMDIST(S141,P141+AJUSTE,SIGMA,TRUE)))</f>
        <v/>
      </c>
      <c r="U141" s="34">
        <f>IF($A141="",NA(),1-T141)</f>
        <v/>
      </c>
    </row>
    <row r="142"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N142" s="34">
        <f>IF($A142="",NA(),IF(C142&gt;0,D142/C142,0))</f>
        <v/>
      </c>
      <c r="O142" s="34">
        <f>IF($A142="",NA(),IF(E142&gt;0,F142/E142,0))</f>
        <v/>
      </c>
      <c r="P142" s="34">
        <f>IF($A142="",NA(),IF(K142+L142&gt;0,K142/(K142+L142),0.5))</f>
        <v/>
      </c>
      <c r="Q142" s="34">
        <f>IF($A142="",NA(),1-P142)</f>
        <v/>
      </c>
      <c r="R142" s="33">
        <f>IF($A142="",NA(),MAX(0,E142-F142)*IF(G142&gt;0,H142/G142,COMPAREC_PAD)*IF(I142&gt;0,J142/I142,VALIDOS_PAD))</f>
        <v/>
      </c>
      <c r="S142" s="34">
        <f>IF($A142="",NA(),IF(R142&gt;0,0.5-(K142-L142)/(2*R142),0))</f>
        <v/>
      </c>
      <c r="T142" s="34">
        <f>IF($A142="",NA(),IF(R142&lt;=0,IF(K142&gt;L142,1,IF(K142&lt;L142,0,0.5)),1-NORMDIST(S142,P142+AJUSTE,SIGMA,TRUE)))</f>
        <v/>
      </c>
      <c r="U142" s="34">
        <f>IF($A142="",NA(),1-T142)</f>
        <v/>
      </c>
    </row>
    <row r="143"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N143" s="34">
        <f>IF($A143="",NA(),IF(C143&gt;0,D143/C143,0))</f>
        <v/>
      </c>
      <c r="O143" s="34">
        <f>IF($A143="",NA(),IF(E143&gt;0,F143/E143,0))</f>
        <v/>
      </c>
      <c r="P143" s="34">
        <f>IF($A143="",NA(),IF(K143+L143&gt;0,K143/(K143+L143),0.5))</f>
        <v/>
      </c>
      <c r="Q143" s="34">
        <f>IF($A143="",NA(),1-P143)</f>
        <v/>
      </c>
      <c r="R143" s="33">
        <f>IF($A143="",NA(),MAX(0,E143-F143)*IF(G143&gt;0,H143/G143,COMPAREC_PAD)*IF(I143&gt;0,J143/I143,VALIDOS_PAD))</f>
        <v/>
      </c>
      <c r="S143" s="34">
        <f>IF($A143="",NA(),IF(R143&gt;0,0.5-(K143-L143)/(2*R143),0))</f>
        <v/>
      </c>
      <c r="T143" s="34">
        <f>IF($A143="",NA(),IF(R143&lt;=0,IF(K143&gt;L143,1,IF(K143&lt;L143,0,0.5)),1-NORMDIST(S143,P143+AJUSTE,SIGMA,TRUE)))</f>
        <v/>
      </c>
      <c r="U143" s="34">
        <f>IF($A143="",NA(),1-T143)</f>
        <v/>
      </c>
    </row>
    <row r="144"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N144" s="34">
        <f>IF($A144="",NA(),IF(C144&gt;0,D144/C144,0))</f>
        <v/>
      </c>
      <c r="O144" s="34">
        <f>IF($A144="",NA(),IF(E144&gt;0,F144/E144,0))</f>
        <v/>
      </c>
      <c r="P144" s="34">
        <f>IF($A144="",NA(),IF(K144+L144&gt;0,K144/(K144+L144),0.5))</f>
        <v/>
      </c>
      <c r="Q144" s="34">
        <f>IF($A144="",NA(),1-P144)</f>
        <v/>
      </c>
      <c r="R144" s="33">
        <f>IF($A144="",NA(),MAX(0,E144-F144)*IF(G144&gt;0,H144/G144,COMPAREC_PAD)*IF(I144&gt;0,J144/I144,VALIDOS_PAD))</f>
        <v/>
      </c>
      <c r="S144" s="34">
        <f>IF($A144="",NA(),IF(R144&gt;0,0.5-(K144-L144)/(2*R144),0))</f>
        <v/>
      </c>
      <c r="T144" s="34">
        <f>IF($A144="",NA(),IF(R144&lt;=0,IF(K144&gt;L144,1,IF(K144&lt;L144,0,0.5)),1-NORMDIST(S144,P144+AJUSTE,SIGMA,TRUE)))</f>
        <v/>
      </c>
      <c r="U144" s="34">
        <f>IF($A144="",NA(),1-T144)</f>
        <v/>
      </c>
    </row>
    <row r="145"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N145" s="34">
        <f>IF($A145="",NA(),IF(C145&gt;0,D145/C145,0))</f>
        <v/>
      </c>
      <c r="O145" s="34">
        <f>IF($A145="",NA(),IF(E145&gt;0,F145/E145,0))</f>
        <v/>
      </c>
      <c r="P145" s="34">
        <f>IF($A145="",NA(),IF(K145+L145&gt;0,K145/(K145+L145),0.5))</f>
        <v/>
      </c>
      <c r="Q145" s="34">
        <f>IF($A145="",NA(),1-P145)</f>
        <v/>
      </c>
      <c r="R145" s="33">
        <f>IF($A145="",NA(),MAX(0,E145-F145)*IF(G145&gt;0,H145/G145,COMPAREC_PAD)*IF(I145&gt;0,J145/I145,VALIDOS_PAD))</f>
        <v/>
      </c>
      <c r="S145" s="34">
        <f>IF($A145="",NA(),IF(R145&gt;0,0.5-(K145-L145)/(2*R145),0))</f>
        <v/>
      </c>
      <c r="T145" s="34">
        <f>IF($A145="",NA(),IF(R145&lt;=0,IF(K145&gt;L145,1,IF(K145&lt;L145,0,0.5)),1-NORMDIST(S145,P145+AJUSTE,SIGMA,TRUE)))</f>
        <v/>
      </c>
      <c r="U145" s="34">
        <f>IF($A145="",NA(),1-T145)</f>
        <v/>
      </c>
    </row>
    <row r="146"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N146" s="34">
        <f>IF($A146="",NA(),IF(C146&gt;0,D146/C146,0))</f>
        <v/>
      </c>
      <c r="O146" s="34">
        <f>IF($A146="",NA(),IF(E146&gt;0,F146/E146,0))</f>
        <v/>
      </c>
      <c r="P146" s="34">
        <f>IF($A146="",NA(),IF(K146+L146&gt;0,K146/(K146+L146),0.5))</f>
        <v/>
      </c>
      <c r="Q146" s="34">
        <f>IF($A146="",NA(),1-P146)</f>
        <v/>
      </c>
      <c r="R146" s="33">
        <f>IF($A146="",NA(),MAX(0,E146-F146)*IF(G146&gt;0,H146/G146,COMPAREC_PAD)*IF(I146&gt;0,J146/I146,VALIDOS_PAD))</f>
        <v/>
      </c>
      <c r="S146" s="34">
        <f>IF($A146="",NA(),IF(R146&gt;0,0.5-(K146-L146)/(2*R146),0))</f>
        <v/>
      </c>
      <c r="T146" s="34">
        <f>IF($A146="",NA(),IF(R146&lt;=0,IF(K146&gt;L146,1,IF(K146&lt;L146,0,0.5)),1-NORMDIST(S146,P146+AJUSTE,SIGMA,TRUE)))</f>
        <v/>
      </c>
      <c r="U146" s="34">
        <f>IF($A146="",NA(),1-T146)</f>
        <v/>
      </c>
    </row>
    <row r="147"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N147" s="34">
        <f>IF($A147="",NA(),IF(C147&gt;0,D147/C147,0))</f>
        <v/>
      </c>
      <c r="O147" s="34">
        <f>IF($A147="",NA(),IF(E147&gt;0,F147/E147,0))</f>
        <v/>
      </c>
      <c r="P147" s="34">
        <f>IF($A147="",NA(),IF(K147+L147&gt;0,K147/(K147+L147),0.5))</f>
        <v/>
      </c>
      <c r="Q147" s="34">
        <f>IF($A147="",NA(),1-P147)</f>
        <v/>
      </c>
      <c r="R147" s="33">
        <f>IF($A147="",NA(),MAX(0,E147-F147)*IF(G147&gt;0,H147/G147,COMPAREC_PAD)*IF(I147&gt;0,J147/I147,VALIDOS_PAD))</f>
        <v/>
      </c>
      <c r="S147" s="34">
        <f>IF($A147="",NA(),IF(R147&gt;0,0.5-(K147-L147)/(2*R147),0))</f>
        <v/>
      </c>
      <c r="T147" s="34">
        <f>IF($A147="",NA(),IF(R147&lt;=0,IF(K147&gt;L147,1,IF(K147&lt;L147,0,0.5)),1-NORMDIST(S147,P147+AJUSTE,SIGMA,TRUE)))</f>
        <v/>
      </c>
      <c r="U147" s="34">
        <f>IF($A147="",NA(),1-T147)</f>
        <v/>
      </c>
    </row>
    <row r="148"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N148" s="34">
        <f>IF($A148="",NA(),IF(C148&gt;0,D148/C148,0))</f>
        <v/>
      </c>
      <c r="O148" s="34">
        <f>IF($A148="",NA(),IF(E148&gt;0,F148/E148,0))</f>
        <v/>
      </c>
      <c r="P148" s="34">
        <f>IF($A148="",NA(),IF(K148+L148&gt;0,K148/(K148+L148),0.5))</f>
        <v/>
      </c>
      <c r="Q148" s="34">
        <f>IF($A148="",NA(),1-P148)</f>
        <v/>
      </c>
      <c r="R148" s="33">
        <f>IF($A148="",NA(),MAX(0,E148-F148)*IF(G148&gt;0,H148/G148,COMPAREC_PAD)*IF(I148&gt;0,J148/I148,VALIDOS_PAD))</f>
        <v/>
      </c>
      <c r="S148" s="34">
        <f>IF($A148="",NA(),IF(R148&gt;0,0.5-(K148-L148)/(2*R148),0))</f>
        <v/>
      </c>
      <c r="T148" s="34">
        <f>IF($A148="",NA(),IF(R148&lt;=0,IF(K148&gt;L148,1,IF(K148&lt;L148,0,0.5)),1-NORMDIST(S148,P148+AJUSTE,SIGMA,TRUE)))</f>
        <v/>
      </c>
      <c r="U148" s="34">
        <f>IF($A148="",NA(),1-T148)</f>
        <v/>
      </c>
    </row>
    <row r="149"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N149" s="34">
        <f>IF($A149="",NA(),IF(C149&gt;0,D149/C149,0))</f>
        <v/>
      </c>
      <c r="O149" s="34">
        <f>IF($A149="",NA(),IF(E149&gt;0,F149/E149,0))</f>
        <v/>
      </c>
      <c r="P149" s="34">
        <f>IF($A149="",NA(),IF(K149+L149&gt;0,K149/(K149+L149),0.5))</f>
        <v/>
      </c>
      <c r="Q149" s="34">
        <f>IF($A149="",NA(),1-P149)</f>
        <v/>
      </c>
      <c r="R149" s="33">
        <f>IF($A149="",NA(),MAX(0,E149-F149)*IF(G149&gt;0,H149/G149,COMPAREC_PAD)*IF(I149&gt;0,J149/I149,VALIDOS_PAD))</f>
        <v/>
      </c>
      <c r="S149" s="34">
        <f>IF($A149="",NA(),IF(R149&gt;0,0.5-(K149-L149)/(2*R149),0))</f>
        <v/>
      </c>
      <c r="T149" s="34">
        <f>IF($A149="",NA(),IF(R149&lt;=0,IF(K149&gt;L149,1,IF(K149&lt;L149,0,0.5)),1-NORMDIST(S149,P149+AJUSTE,SIGMA,TRUE)))</f>
        <v/>
      </c>
      <c r="U149" s="34">
        <f>IF($A149="",NA(),1-T149)</f>
        <v/>
      </c>
    </row>
    <row r="150"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N150" s="34">
        <f>IF($A150="",NA(),IF(C150&gt;0,D150/C150,0))</f>
        <v/>
      </c>
      <c r="O150" s="34">
        <f>IF($A150="",NA(),IF(E150&gt;0,F150/E150,0))</f>
        <v/>
      </c>
      <c r="P150" s="34">
        <f>IF($A150="",NA(),IF(K150+L150&gt;0,K150/(K150+L150),0.5))</f>
        <v/>
      </c>
      <c r="Q150" s="34">
        <f>IF($A150="",NA(),1-P150)</f>
        <v/>
      </c>
      <c r="R150" s="33">
        <f>IF($A150="",NA(),MAX(0,E150-F150)*IF(G150&gt;0,H150/G150,COMPAREC_PAD)*IF(I150&gt;0,J150/I150,VALIDOS_PAD))</f>
        <v/>
      </c>
      <c r="S150" s="34">
        <f>IF($A150="",NA(),IF(R150&gt;0,0.5-(K150-L150)/(2*R150),0))</f>
        <v/>
      </c>
      <c r="T150" s="34">
        <f>IF($A150="",NA(),IF(R150&lt;=0,IF(K150&gt;L150,1,IF(K150&lt;L150,0,0.5)),1-NORMDIST(S150,P150+AJUSTE,SIGMA,TRUE)))</f>
        <v/>
      </c>
      <c r="U150" s="34">
        <f>IF($A150="",NA(),1-T150)</f>
        <v/>
      </c>
    </row>
    <row r="151"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N151" s="34">
        <f>IF($A151="",NA(),IF(C151&gt;0,D151/C151,0))</f>
        <v/>
      </c>
      <c r="O151" s="34">
        <f>IF($A151="",NA(),IF(E151&gt;0,F151/E151,0))</f>
        <v/>
      </c>
      <c r="P151" s="34">
        <f>IF($A151="",NA(),IF(K151+L151&gt;0,K151/(K151+L151),0.5))</f>
        <v/>
      </c>
      <c r="Q151" s="34">
        <f>IF($A151="",NA(),1-P151)</f>
        <v/>
      </c>
      <c r="R151" s="33">
        <f>IF($A151="",NA(),MAX(0,E151-F151)*IF(G151&gt;0,H151/G151,COMPAREC_PAD)*IF(I151&gt;0,J151/I151,VALIDOS_PAD))</f>
        <v/>
      </c>
      <c r="S151" s="34">
        <f>IF($A151="",NA(),IF(R151&gt;0,0.5-(K151-L151)/(2*R151),0))</f>
        <v/>
      </c>
      <c r="T151" s="34">
        <f>IF($A151="",NA(),IF(R151&lt;=0,IF(K151&gt;L151,1,IF(K151&lt;L151,0,0.5)),1-NORMDIST(S151,P151+AJUSTE,SIGMA,TRUE)))</f>
        <v/>
      </c>
      <c r="U151" s="34">
        <f>IF($A151="",NA(),1-T151)</f>
        <v/>
      </c>
    </row>
    <row r="152"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N152" s="34">
        <f>IF($A152="",NA(),IF(C152&gt;0,D152/C152,0))</f>
        <v/>
      </c>
      <c r="O152" s="34">
        <f>IF($A152="",NA(),IF(E152&gt;0,F152/E152,0))</f>
        <v/>
      </c>
      <c r="P152" s="34">
        <f>IF($A152="",NA(),IF(K152+L152&gt;0,K152/(K152+L152),0.5))</f>
        <v/>
      </c>
      <c r="Q152" s="34">
        <f>IF($A152="",NA(),1-P152)</f>
        <v/>
      </c>
      <c r="R152" s="33">
        <f>IF($A152="",NA(),MAX(0,E152-F152)*IF(G152&gt;0,H152/G152,COMPAREC_PAD)*IF(I152&gt;0,J152/I152,VALIDOS_PAD))</f>
        <v/>
      </c>
      <c r="S152" s="34">
        <f>IF($A152="",NA(),IF(R152&gt;0,0.5-(K152-L152)/(2*R152),0))</f>
        <v/>
      </c>
      <c r="T152" s="34">
        <f>IF($A152="",NA(),IF(R152&lt;=0,IF(K152&gt;L152,1,IF(K152&lt;L152,0,0.5)),1-NORMDIST(S152,P152+AJUSTE,SIGMA,TRUE)))</f>
        <v/>
      </c>
      <c r="U152" s="34">
        <f>IF($A152="",NA(),1-T152)</f>
        <v/>
      </c>
    </row>
    <row r="153"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N153" s="34">
        <f>IF($A153="",NA(),IF(C153&gt;0,D153/C153,0))</f>
        <v/>
      </c>
      <c r="O153" s="34">
        <f>IF($A153="",NA(),IF(E153&gt;0,F153/E153,0))</f>
        <v/>
      </c>
      <c r="P153" s="34">
        <f>IF($A153="",NA(),IF(K153+L153&gt;0,K153/(K153+L153),0.5))</f>
        <v/>
      </c>
      <c r="Q153" s="34">
        <f>IF($A153="",NA(),1-P153)</f>
        <v/>
      </c>
      <c r="R153" s="33">
        <f>IF($A153="",NA(),MAX(0,E153-F153)*IF(G153&gt;0,H153/G153,COMPAREC_PAD)*IF(I153&gt;0,J153/I153,VALIDOS_PAD))</f>
        <v/>
      </c>
      <c r="S153" s="34">
        <f>IF($A153="",NA(),IF(R153&gt;0,0.5-(K153-L153)/(2*R153),0))</f>
        <v/>
      </c>
      <c r="T153" s="34">
        <f>IF($A153="",NA(),IF(R153&lt;=0,IF(K153&gt;L153,1,IF(K153&lt;L153,0,0.5)),1-NORMDIST(S153,P153+AJUSTE,SIGMA,TRUE)))</f>
        <v/>
      </c>
      <c r="U153" s="34">
        <f>IF($A153="",NA(),1-T153)</f>
        <v/>
      </c>
    </row>
    <row r="154"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N154" s="34">
        <f>IF($A154="",NA(),IF(C154&gt;0,D154/C154,0))</f>
        <v/>
      </c>
      <c r="O154" s="34">
        <f>IF($A154="",NA(),IF(E154&gt;0,F154/E154,0))</f>
        <v/>
      </c>
      <c r="P154" s="34">
        <f>IF($A154="",NA(),IF(K154+L154&gt;0,K154/(K154+L154),0.5))</f>
        <v/>
      </c>
      <c r="Q154" s="34">
        <f>IF($A154="",NA(),1-P154)</f>
        <v/>
      </c>
      <c r="R154" s="33">
        <f>IF($A154="",NA(),MAX(0,E154-F154)*IF(G154&gt;0,H154/G154,COMPAREC_PAD)*IF(I154&gt;0,J154/I154,VALIDOS_PAD))</f>
        <v/>
      </c>
      <c r="S154" s="34">
        <f>IF($A154="",NA(),IF(R154&gt;0,0.5-(K154-L154)/(2*R154),0))</f>
        <v/>
      </c>
      <c r="T154" s="34">
        <f>IF($A154="",NA(),IF(R154&lt;=0,IF(K154&gt;L154,1,IF(K154&lt;L154,0,0.5)),1-NORMDIST(S154,P154+AJUSTE,SIGMA,TRUE)))</f>
        <v/>
      </c>
      <c r="U154" s="34">
        <f>IF($A154="",NA(),1-T154)</f>
        <v/>
      </c>
    </row>
    <row r="155"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N155" s="34">
        <f>IF($A155="",NA(),IF(C155&gt;0,D155/C155,0))</f>
        <v/>
      </c>
      <c r="O155" s="34">
        <f>IF($A155="",NA(),IF(E155&gt;0,F155/E155,0))</f>
        <v/>
      </c>
      <c r="P155" s="34">
        <f>IF($A155="",NA(),IF(K155+L155&gt;0,K155/(K155+L155),0.5))</f>
        <v/>
      </c>
      <c r="Q155" s="34">
        <f>IF($A155="",NA(),1-P155)</f>
        <v/>
      </c>
      <c r="R155" s="33">
        <f>IF($A155="",NA(),MAX(0,E155-F155)*IF(G155&gt;0,H155/G155,COMPAREC_PAD)*IF(I155&gt;0,J155/I155,VALIDOS_PAD))</f>
        <v/>
      </c>
      <c r="S155" s="34">
        <f>IF($A155="",NA(),IF(R155&gt;0,0.5-(K155-L155)/(2*R155),0))</f>
        <v/>
      </c>
      <c r="T155" s="34">
        <f>IF($A155="",NA(),IF(R155&lt;=0,IF(K155&gt;L155,1,IF(K155&lt;L155,0,0.5)),1-NORMDIST(S155,P155+AJUSTE,SIGMA,TRUE)))</f>
        <v/>
      </c>
      <c r="U155" s="34">
        <f>IF($A155="",NA(),1-T155)</f>
        <v/>
      </c>
    </row>
    <row r="156"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N156" s="34">
        <f>IF($A156="",NA(),IF(C156&gt;0,D156/C156,0))</f>
        <v/>
      </c>
      <c r="O156" s="34">
        <f>IF($A156="",NA(),IF(E156&gt;0,F156/E156,0))</f>
        <v/>
      </c>
      <c r="P156" s="34">
        <f>IF($A156="",NA(),IF(K156+L156&gt;0,K156/(K156+L156),0.5))</f>
        <v/>
      </c>
      <c r="Q156" s="34">
        <f>IF($A156="",NA(),1-P156)</f>
        <v/>
      </c>
      <c r="R156" s="33">
        <f>IF($A156="",NA(),MAX(0,E156-F156)*IF(G156&gt;0,H156/G156,COMPAREC_PAD)*IF(I156&gt;0,J156/I156,VALIDOS_PAD))</f>
        <v/>
      </c>
      <c r="S156" s="34">
        <f>IF($A156="",NA(),IF(R156&gt;0,0.5-(K156-L156)/(2*R156),0))</f>
        <v/>
      </c>
      <c r="T156" s="34">
        <f>IF($A156="",NA(),IF(R156&lt;=0,IF(K156&gt;L156,1,IF(K156&lt;L156,0,0.5)),1-NORMDIST(S156,P156+AJUSTE,SIGMA,TRUE)))</f>
        <v/>
      </c>
      <c r="U156" s="34">
        <f>IF($A156="",NA(),1-T156)</f>
        <v/>
      </c>
    </row>
    <row r="157"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N157" s="34">
        <f>IF($A157="",NA(),IF(C157&gt;0,D157/C157,0))</f>
        <v/>
      </c>
      <c r="O157" s="34">
        <f>IF($A157="",NA(),IF(E157&gt;0,F157/E157,0))</f>
        <v/>
      </c>
      <c r="P157" s="34">
        <f>IF($A157="",NA(),IF(K157+L157&gt;0,K157/(K157+L157),0.5))</f>
        <v/>
      </c>
      <c r="Q157" s="34">
        <f>IF($A157="",NA(),1-P157)</f>
        <v/>
      </c>
      <c r="R157" s="33">
        <f>IF($A157="",NA(),MAX(0,E157-F157)*IF(G157&gt;0,H157/G157,COMPAREC_PAD)*IF(I157&gt;0,J157/I157,VALIDOS_PAD))</f>
        <v/>
      </c>
      <c r="S157" s="34">
        <f>IF($A157="",NA(),IF(R157&gt;0,0.5-(K157-L157)/(2*R157),0))</f>
        <v/>
      </c>
      <c r="T157" s="34">
        <f>IF($A157="",NA(),IF(R157&lt;=0,IF(K157&gt;L157,1,IF(K157&lt;L157,0,0.5)),1-NORMDIST(S157,P157+AJUSTE,SIGMA,TRUE)))</f>
        <v/>
      </c>
      <c r="U157" s="34">
        <f>IF($A157="",NA(),1-T157)</f>
        <v/>
      </c>
    </row>
    <row r="158"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N158" s="34">
        <f>IF($A158="",NA(),IF(C158&gt;0,D158/C158,0))</f>
        <v/>
      </c>
      <c r="O158" s="34">
        <f>IF($A158="",NA(),IF(E158&gt;0,F158/E158,0))</f>
        <v/>
      </c>
      <c r="P158" s="34">
        <f>IF($A158="",NA(),IF(K158+L158&gt;0,K158/(K158+L158),0.5))</f>
        <v/>
      </c>
      <c r="Q158" s="34">
        <f>IF($A158="",NA(),1-P158)</f>
        <v/>
      </c>
      <c r="R158" s="33">
        <f>IF($A158="",NA(),MAX(0,E158-F158)*IF(G158&gt;0,H158/G158,COMPAREC_PAD)*IF(I158&gt;0,J158/I158,VALIDOS_PAD))</f>
        <v/>
      </c>
      <c r="S158" s="34">
        <f>IF($A158="",NA(),IF(R158&gt;0,0.5-(K158-L158)/(2*R158),0))</f>
        <v/>
      </c>
      <c r="T158" s="34">
        <f>IF($A158="",NA(),IF(R158&lt;=0,IF(K158&gt;L158,1,IF(K158&lt;L158,0,0.5)),1-NORMDIST(S158,P158+AJUSTE,SIGMA,TRUE)))</f>
        <v/>
      </c>
      <c r="U158" s="34">
        <f>IF($A158="",NA(),1-T158)</f>
        <v/>
      </c>
    </row>
    <row r="159"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N159" s="34">
        <f>IF($A159="",NA(),IF(C159&gt;0,D159/C159,0))</f>
        <v/>
      </c>
      <c r="O159" s="34">
        <f>IF($A159="",NA(),IF(E159&gt;0,F159/E159,0))</f>
        <v/>
      </c>
      <c r="P159" s="34">
        <f>IF($A159="",NA(),IF(K159+L159&gt;0,K159/(K159+L159),0.5))</f>
        <v/>
      </c>
      <c r="Q159" s="34">
        <f>IF($A159="",NA(),1-P159)</f>
        <v/>
      </c>
      <c r="R159" s="33">
        <f>IF($A159="",NA(),MAX(0,E159-F159)*IF(G159&gt;0,H159/G159,COMPAREC_PAD)*IF(I159&gt;0,J159/I159,VALIDOS_PAD))</f>
        <v/>
      </c>
      <c r="S159" s="34">
        <f>IF($A159="",NA(),IF(R159&gt;0,0.5-(K159-L159)/(2*R159),0))</f>
        <v/>
      </c>
      <c r="T159" s="34">
        <f>IF($A159="",NA(),IF(R159&lt;=0,IF(K159&gt;L159,1,IF(K159&lt;L159,0,0.5)),1-NORMDIST(S159,P159+AJUSTE,SIGMA,TRUE)))</f>
        <v/>
      </c>
      <c r="U159" s="34">
        <f>IF($A159="",NA(),1-T159)</f>
        <v/>
      </c>
    </row>
    <row r="160"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N160" s="34">
        <f>IF($A160="",NA(),IF(C160&gt;0,D160/C160,0))</f>
        <v/>
      </c>
      <c r="O160" s="34">
        <f>IF($A160="",NA(),IF(E160&gt;0,F160/E160,0))</f>
        <v/>
      </c>
      <c r="P160" s="34">
        <f>IF($A160="",NA(),IF(K160+L160&gt;0,K160/(K160+L160),0.5))</f>
        <v/>
      </c>
      <c r="Q160" s="34">
        <f>IF($A160="",NA(),1-P160)</f>
        <v/>
      </c>
      <c r="R160" s="33">
        <f>IF($A160="",NA(),MAX(0,E160-F160)*IF(G160&gt;0,H160/G160,COMPAREC_PAD)*IF(I160&gt;0,J160/I160,VALIDOS_PAD))</f>
        <v/>
      </c>
      <c r="S160" s="34">
        <f>IF($A160="",NA(),IF(R160&gt;0,0.5-(K160-L160)/(2*R160),0))</f>
        <v/>
      </c>
      <c r="T160" s="34">
        <f>IF($A160="",NA(),IF(R160&lt;=0,IF(K160&gt;L160,1,IF(K160&lt;L160,0,0.5)),1-NORMDIST(S160,P160+AJUSTE,SIGMA,TRUE)))</f>
        <v/>
      </c>
      <c r="U160" s="34">
        <f>IF($A160="",NA(),1-T160)</f>
        <v/>
      </c>
    </row>
    <row r="161"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N161" s="34">
        <f>IF($A161="",NA(),IF(C161&gt;0,D161/C161,0))</f>
        <v/>
      </c>
      <c r="O161" s="34">
        <f>IF($A161="",NA(),IF(E161&gt;0,F161/E161,0))</f>
        <v/>
      </c>
      <c r="P161" s="34">
        <f>IF($A161="",NA(),IF(K161+L161&gt;0,K161/(K161+L161),0.5))</f>
        <v/>
      </c>
      <c r="Q161" s="34">
        <f>IF($A161="",NA(),1-P161)</f>
        <v/>
      </c>
      <c r="R161" s="33">
        <f>IF($A161="",NA(),MAX(0,E161-F161)*IF(G161&gt;0,H161/G161,COMPAREC_PAD)*IF(I161&gt;0,J161/I161,VALIDOS_PAD))</f>
        <v/>
      </c>
      <c r="S161" s="34">
        <f>IF($A161="",NA(),IF(R161&gt;0,0.5-(K161-L161)/(2*R161),0))</f>
        <v/>
      </c>
      <c r="T161" s="34">
        <f>IF($A161="",NA(),IF(R161&lt;=0,IF(K161&gt;L161,1,IF(K161&lt;L161,0,0.5)),1-NORMDIST(S161,P161+AJUSTE,SIGMA,TRUE)))</f>
        <v/>
      </c>
      <c r="U161" s="34">
        <f>IF($A161="",NA(),1-T161)</f>
        <v/>
      </c>
    </row>
    <row r="162"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N162" s="34">
        <f>IF($A162="",NA(),IF(C162&gt;0,D162/C162,0))</f>
        <v/>
      </c>
      <c r="O162" s="34">
        <f>IF($A162="",NA(),IF(E162&gt;0,F162/E162,0))</f>
        <v/>
      </c>
      <c r="P162" s="34">
        <f>IF($A162="",NA(),IF(K162+L162&gt;0,K162/(K162+L162),0.5))</f>
        <v/>
      </c>
      <c r="Q162" s="34">
        <f>IF($A162="",NA(),1-P162)</f>
        <v/>
      </c>
      <c r="R162" s="33">
        <f>IF($A162="",NA(),MAX(0,E162-F162)*IF(G162&gt;0,H162/G162,COMPAREC_PAD)*IF(I162&gt;0,J162/I162,VALIDOS_PAD))</f>
        <v/>
      </c>
      <c r="S162" s="34">
        <f>IF($A162="",NA(),IF(R162&gt;0,0.5-(K162-L162)/(2*R162),0))</f>
        <v/>
      </c>
      <c r="T162" s="34">
        <f>IF($A162="",NA(),IF(R162&lt;=0,IF(K162&gt;L162,1,IF(K162&lt;L162,0,0.5)),1-NORMDIST(S162,P162+AJUSTE,SIGMA,TRUE)))</f>
        <v/>
      </c>
      <c r="U162" s="34">
        <f>IF($A162="",NA(),1-T162)</f>
        <v/>
      </c>
    </row>
    <row r="163"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N163" s="34">
        <f>IF($A163="",NA(),IF(C163&gt;0,D163/C163,0))</f>
        <v/>
      </c>
      <c r="O163" s="34">
        <f>IF($A163="",NA(),IF(E163&gt;0,F163/E163,0))</f>
        <v/>
      </c>
      <c r="P163" s="34">
        <f>IF($A163="",NA(),IF(K163+L163&gt;0,K163/(K163+L163),0.5))</f>
        <v/>
      </c>
      <c r="Q163" s="34">
        <f>IF($A163="",NA(),1-P163)</f>
        <v/>
      </c>
      <c r="R163" s="33">
        <f>IF($A163="",NA(),MAX(0,E163-F163)*IF(G163&gt;0,H163/G163,COMPAREC_PAD)*IF(I163&gt;0,J163/I163,VALIDOS_PAD))</f>
        <v/>
      </c>
      <c r="S163" s="34">
        <f>IF($A163="",NA(),IF(R163&gt;0,0.5-(K163-L163)/(2*R163),0))</f>
        <v/>
      </c>
      <c r="T163" s="34">
        <f>IF($A163="",NA(),IF(R163&lt;=0,IF(K163&gt;L163,1,IF(K163&lt;L163,0,0.5)),1-NORMDIST(S163,P163+AJUSTE,SIGMA,TRUE)))</f>
        <v/>
      </c>
      <c r="U163" s="34">
        <f>IF($A163="",NA(),1-T163)</f>
        <v/>
      </c>
    </row>
    <row r="164"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N164" s="34">
        <f>IF($A164="",NA(),IF(C164&gt;0,D164/C164,0))</f>
        <v/>
      </c>
      <c r="O164" s="34">
        <f>IF($A164="",NA(),IF(E164&gt;0,F164/E164,0))</f>
        <v/>
      </c>
      <c r="P164" s="34">
        <f>IF($A164="",NA(),IF(K164+L164&gt;0,K164/(K164+L164),0.5))</f>
        <v/>
      </c>
      <c r="Q164" s="34">
        <f>IF($A164="",NA(),1-P164)</f>
        <v/>
      </c>
      <c r="R164" s="33">
        <f>IF($A164="",NA(),MAX(0,E164-F164)*IF(G164&gt;0,H164/G164,COMPAREC_PAD)*IF(I164&gt;0,J164/I164,VALIDOS_PAD))</f>
        <v/>
      </c>
      <c r="S164" s="34">
        <f>IF($A164="",NA(),IF(R164&gt;0,0.5-(K164-L164)/(2*R164),0))</f>
        <v/>
      </c>
      <c r="T164" s="34">
        <f>IF($A164="",NA(),IF(R164&lt;=0,IF(K164&gt;L164,1,IF(K164&lt;L164,0,0.5)),1-NORMDIST(S164,P164+AJUSTE,SIGMA,TRUE)))</f>
        <v/>
      </c>
      <c r="U164" s="34">
        <f>IF($A164="",NA(),1-T164)</f>
        <v/>
      </c>
    </row>
    <row r="165"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N165" s="34">
        <f>IF($A165="",NA(),IF(C165&gt;0,D165/C165,0))</f>
        <v/>
      </c>
      <c r="O165" s="34">
        <f>IF($A165="",NA(),IF(E165&gt;0,F165/E165,0))</f>
        <v/>
      </c>
      <c r="P165" s="34">
        <f>IF($A165="",NA(),IF(K165+L165&gt;0,K165/(K165+L165),0.5))</f>
        <v/>
      </c>
      <c r="Q165" s="34">
        <f>IF($A165="",NA(),1-P165)</f>
        <v/>
      </c>
      <c r="R165" s="33">
        <f>IF($A165="",NA(),MAX(0,E165-F165)*IF(G165&gt;0,H165/G165,COMPAREC_PAD)*IF(I165&gt;0,J165/I165,VALIDOS_PAD))</f>
        <v/>
      </c>
      <c r="S165" s="34">
        <f>IF($A165="",NA(),IF(R165&gt;0,0.5-(K165-L165)/(2*R165),0))</f>
        <v/>
      </c>
      <c r="T165" s="34">
        <f>IF($A165="",NA(),IF(R165&lt;=0,IF(K165&gt;L165,1,IF(K165&lt;L165,0,0.5)),1-NORMDIST(S165,P165+AJUSTE,SIGMA,TRUE)))</f>
        <v/>
      </c>
      <c r="U165" s="34">
        <f>IF($A165="",NA(),1-T165)</f>
        <v/>
      </c>
    </row>
    <row r="166"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N166" s="34">
        <f>IF($A166="",NA(),IF(C166&gt;0,D166/C166,0))</f>
        <v/>
      </c>
      <c r="O166" s="34">
        <f>IF($A166="",NA(),IF(E166&gt;0,F166/E166,0))</f>
        <v/>
      </c>
      <c r="P166" s="34">
        <f>IF($A166="",NA(),IF(K166+L166&gt;0,K166/(K166+L166),0.5))</f>
        <v/>
      </c>
      <c r="Q166" s="34">
        <f>IF($A166="",NA(),1-P166)</f>
        <v/>
      </c>
      <c r="R166" s="33">
        <f>IF($A166="",NA(),MAX(0,E166-F166)*IF(G166&gt;0,H166/G166,COMPAREC_PAD)*IF(I166&gt;0,J166/I166,VALIDOS_PAD))</f>
        <v/>
      </c>
      <c r="S166" s="34">
        <f>IF($A166="",NA(),IF(R166&gt;0,0.5-(K166-L166)/(2*R166),0))</f>
        <v/>
      </c>
      <c r="T166" s="34">
        <f>IF($A166="",NA(),IF(R166&lt;=0,IF(K166&gt;L166,1,IF(K166&lt;L166,0,0.5)),1-NORMDIST(S166,P166+AJUSTE,SIGMA,TRUE)))</f>
        <v/>
      </c>
      <c r="U166" s="34">
        <f>IF($A166="",NA(),1-T166)</f>
        <v/>
      </c>
    </row>
    <row r="167"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N167" s="34">
        <f>IF($A167="",NA(),IF(C167&gt;0,D167/C167,0))</f>
        <v/>
      </c>
      <c r="O167" s="34">
        <f>IF($A167="",NA(),IF(E167&gt;0,F167/E167,0))</f>
        <v/>
      </c>
      <c r="P167" s="34">
        <f>IF($A167="",NA(),IF(K167+L167&gt;0,K167/(K167+L167),0.5))</f>
        <v/>
      </c>
      <c r="Q167" s="34">
        <f>IF($A167="",NA(),1-P167)</f>
        <v/>
      </c>
      <c r="R167" s="33">
        <f>IF($A167="",NA(),MAX(0,E167-F167)*IF(G167&gt;0,H167/G167,COMPAREC_PAD)*IF(I167&gt;0,J167/I167,VALIDOS_PAD))</f>
        <v/>
      </c>
      <c r="S167" s="34">
        <f>IF($A167="",NA(),IF(R167&gt;0,0.5-(K167-L167)/(2*R167),0))</f>
        <v/>
      </c>
      <c r="T167" s="34">
        <f>IF($A167="",NA(),IF(R167&lt;=0,IF(K167&gt;L167,1,IF(K167&lt;L167,0,0.5)),1-NORMDIST(S167,P167+AJUSTE,SIGMA,TRUE)))</f>
        <v/>
      </c>
      <c r="U167" s="34">
        <f>IF($A167="",NA(),1-T167)</f>
        <v/>
      </c>
    </row>
    <row r="168"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N168" s="34">
        <f>IF($A168="",NA(),IF(C168&gt;0,D168/C168,0))</f>
        <v/>
      </c>
      <c r="O168" s="34">
        <f>IF($A168="",NA(),IF(E168&gt;0,F168/E168,0))</f>
        <v/>
      </c>
      <c r="P168" s="34">
        <f>IF($A168="",NA(),IF(K168+L168&gt;0,K168/(K168+L168),0.5))</f>
        <v/>
      </c>
      <c r="Q168" s="34">
        <f>IF($A168="",NA(),1-P168)</f>
        <v/>
      </c>
      <c r="R168" s="33">
        <f>IF($A168="",NA(),MAX(0,E168-F168)*IF(G168&gt;0,H168/G168,COMPAREC_PAD)*IF(I168&gt;0,J168/I168,VALIDOS_PAD))</f>
        <v/>
      </c>
      <c r="S168" s="34">
        <f>IF($A168="",NA(),IF(R168&gt;0,0.5-(K168-L168)/(2*R168),0))</f>
        <v/>
      </c>
      <c r="T168" s="34">
        <f>IF($A168="",NA(),IF(R168&lt;=0,IF(K168&gt;L168,1,IF(K168&lt;L168,0,0.5)),1-NORMDIST(S168,P168+AJUSTE,SIGMA,TRUE)))</f>
        <v/>
      </c>
      <c r="U168" s="34">
        <f>IF($A168="",NA(),1-T168)</f>
        <v/>
      </c>
    </row>
    <row r="169"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N169" s="34">
        <f>IF($A169="",NA(),IF(C169&gt;0,D169/C169,0))</f>
        <v/>
      </c>
      <c r="O169" s="34">
        <f>IF($A169="",NA(),IF(E169&gt;0,F169/E169,0))</f>
        <v/>
      </c>
      <c r="P169" s="34">
        <f>IF($A169="",NA(),IF(K169+L169&gt;0,K169/(K169+L169),0.5))</f>
        <v/>
      </c>
      <c r="Q169" s="34">
        <f>IF($A169="",NA(),1-P169)</f>
        <v/>
      </c>
      <c r="R169" s="33">
        <f>IF($A169="",NA(),MAX(0,E169-F169)*IF(G169&gt;0,H169/G169,COMPAREC_PAD)*IF(I169&gt;0,J169/I169,VALIDOS_PAD))</f>
        <v/>
      </c>
      <c r="S169" s="34">
        <f>IF($A169="",NA(),IF(R169&gt;0,0.5-(K169-L169)/(2*R169),0))</f>
        <v/>
      </c>
      <c r="T169" s="34">
        <f>IF($A169="",NA(),IF(R169&lt;=0,IF(K169&gt;L169,1,IF(K169&lt;L169,0,0.5)),1-NORMDIST(S169,P169+AJUSTE,SIGMA,TRUE)))</f>
        <v/>
      </c>
      <c r="U169" s="34">
        <f>IF($A169="",NA(),1-T169)</f>
        <v/>
      </c>
    </row>
    <row r="170"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N170" s="34">
        <f>IF($A170="",NA(),IF(C170&gt;0,D170/C170,0))</f>
        <v/>
      </c>
      <c r="O170" s="34">
        <f>IF($A170="",NA(),IF(E170&gt;0,F170/E170,0))</f>
        <v/>
      </c>
      <c r="P170" s="34">
        <f>IF($A170="",NA(),IF(K170+L170&gt;0,K170/(K170+L170),0.5))</f>
        <v/>
      </c>
      <c r="Q170" s="34">
        <f>IF($A170="",NA(),1-P170)</f>
        <v/>
      </c>
      <c r="R170" s="33">
        <f>IF($A170="",NA(),MAX(0,E170-F170)*IF(G170&gt;0,H170/G170,COMPAREC_PAD)*IF(I170&gt;0,J170/I170,VALIDOS_PAD))</f>
        <v/>
      </c>
      <c r="S170" s="34">
        <f>IF($A170="",NA(),IF(R170&gt;0,0.5-(K170-L170)/(2*R170),0))</f>
        <v/>
      </c>
      <c r="T170" s="34">
        <f>IF($A170="",NA(),IF(R170&lt;=0,IF(K170&gt;L170,1,IF(K170&lt;L170,0,0.5)),1-NORMDIST(S170,P170+AJUSTE,SIGMA,TRUE)))</f>
        <v/>
      </c>
      <c r="U170" s="34">
        <f>IF($A170="",NA(),1-T170)</f>
        <v/>
      </c>
    </row>
    <row r="171"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N171" s="34">
        <f>IF($A171="",NA(),IF(C171&gt;0,D171/C171,0))</f>
        <v/>
      </c>
      <c r="O171" s="34">
        <f>IF($A171="",NA(),IF(E171&gt;0,F171/E171,0))</f>
        <v/>
      </c>
      <c r="P171" s="34">
        <f>IF($A171="",NA(),IF(K171+L171&gt;0,K171/(K171+L171),0.5))</f>
        <v/>
      </c>
      <c r="Q171" s="34">
        <f>IF($A171="",NA(),1-P171)</f>
        <v/>
      </c>
      <c r="R171" s="33">
        <f>IF($A171="",NA(),MAX(0,E171-F171)*IF(G171&gt;0,H171/G171,COMPAREC_PAD)*IF(I171&gt;0,J171/I171,VALIDOS_PAD))</f>
        <v/>
      </c>
      <c r="S171" s="34">
        <f>IF($A171="",NA(),IF(R171&gt;0,0.5-(K171-L171)/(2*R171),0))</f>
        <v/>
      </c>
      <c r="T171" s="34">
        <f>IF($A171="",NA(),IF(R171&lt;=0,IF(K171&gt;L171,1,IF(K171&lt;L171,0,0.5)),1-NORMDIST(S171,P171+AJUSTE,SIGMA,TRUE)))</f>
        <v/>
      </c>
      <c r="U171" s="34">
        <f>IF($A171="",NA(),1-T171)</f>
        <v/>
      </c>
    </row>
    <row r="172"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N172" s="34">
        <f>IF($A172="",NA(),IF(C172&gt;0,D172/C172,0))</f>
        <v/>
      </c>
      <c r="O172" s="34">
        <f>IF($A172="",NA(),IF(E172&gt;0,F172/E172,0))</f>
        <v/>
      </c>
      <c r="P172" s="34">
        <f>IF($A172="",NA(),IF(K172+L172&gt;0,K172/(K172+L172),0.5))</f>
        <v/>
      </c>
      <c r="Q172" s="34">
        <f>IF($A172="",NA(),1-P172)</f>
        <v/>
      </c>
      <c r="R172" s="33">
        <f>IF($A172="",NA(),MAX(0,E172-F172)*IF(G172&gt;0,H172/G172,COMPAREC_PAD)*IF(I172&gt;0,J172/I172,VALIDOS_PAD))</f>
        <v/>
      </c>
      <c r="S172" s="34">
        <f>IF($A172="",NA(),IF(R172&gt;0,0.5-(K172-L172)/(2*R172),0))</f>
        <v/>
      </c>
      <c r="T172" s="34">
        <f>IF($A172="",NA(),IF(R172&lt;=0,IF(K172&gt;L172,1,IF(K172&lt;L172,0,0.5)),1-NORMDIST(S172,P172+AJUSTE,SIGMA,TRUE)))</f>
        <v/>
      </c>
      <c r="U172" s="34">
        <f>IF($A172="",NA(),1-T172)</f>
        <v/>
      </c>
    </row>
    <row r="173"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N173" s="34">
        <f>IF($A173="",NA(),IF(C173&gt;0,D173/C173,0))</f>
        <v/>
      </c>
      <c r="O173" s="34">
        <f>IF($A173="",NA(),IF(E173&gt;0,F173/E173,0))</f>
        <v/>
      </c>
      <c r="P173" s="34">
        <f>IF($A173="",NA(),IF(K173+L173&gt;0,K173/(K173+L173),0.5))</f>
        <v/>
      </c>
      <c r="Q173" s="34">
        <f>IF($A173="",NA(),1-P173)</f>
        <v/>
      </c>
      <c r="R173" s="33">
        <f>IF($A173="",NA(),MAX(0,E173-F173)*IF(G173&gt;0,H173/G173,COMPAREC_PAD)*IF(I173&gt;0,J173/I173,VALIDOS_PAD))</f>
        <v/>
      </c>
      <c r="S173" s="34">
        <f>IF($A173="",NA(),IF(R173&gt;0,0.5-(K173-L173)/(2*R173),0))</f>
        <v/>
      </c>
      <c r="T173" s="34">
        <f>IF($A173="",NA(),IF(R173&lt;=0,IF(K173&gt;L173,1,IF(K173&lt;L173,0,0.5)),1-NORMDIST(S173,P173+AJUSTE,SIGMA,TRUE)))</f>
        <v/>
      </c>
      <c r="U173" s="34">
        <f>IF($A173="",NA(),1-T173)</f>
        <v/>
      </c>
    </row>
    <row r="174"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N174" s="34">
        <f>IF($A174="",NA(),IF(C174&gt;0,D174/C174,0))</f>
        <v/>
      </c>
      <c r="O174" s="34">
        <f>IF($A174="",NA(),IF(E174&gt;0,F174/E174,0))</f>
        <v/>
      </c>
      <c r="P174" s="34">
        <f>IF($A174="",NA(),IF(K174+L174&gt;0,K174/(K174+L174),0.5))</f>
        <v/>
      </c>
      <c r="Q174" s="34">
        <f>IF($A174="",NA(),1-P174)</f>
        <v/>
      </c>
      <c r="R174" s="33">
        <f>IF($A174="",NA(),MAX(0,E174-F174)*IF(G174&gt;0,H174/G174,COMPAREC_PAD)*IF(I174&gt;0,J174/I174,VALIDOS_PAD))</f>
        <v/>
      </c>
      <c r="S174" s="34">
        <f>IF($A174="",NA(),IF(R174&gt;0,0.5-(K174-L174)/(2*R174),0))</f>
        <v/>
      </c>
      <c r="T174" s="34">
        <f>IF($A174="",NA(),IF(R174&lt;=0,IF(K174&gt;L174,1,IF(K174&lt;L174,0,0.5)),1-NORMDIST(S174,P174+AJUSTE,SIGMA,TRUE)))</f>
        <v/>
      </c>
      <c r="U174" s="34">
        <f>IF($A174="",NA(),1-T174)</f>
        <v/>
      </c>
    </row>
    <row r="175"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N175" s="34">
        <f>IF($A175="",NA(),IF(C175&gt;0,D175/C175,0))</f>
        <v/>
      </c>
      <c r="O175" s="34">
        <f>IF($A175="",NA(),IF(E175&gt;0,F175/E175,0))</f>
        <v/>
      </c>
      <c r="P175" s="34">
        <f>IF($A175="",NA(),IF(K175+L175&gt;0,K175/(K175+L175),0.5))</f>
        <v/>
      </c>
      <c r="Q175" s="34">
        <f>IF($A175="",NA(),1-P175)</f>
        <v/>
      </c>
      <c r="R175" s="33">
        <f>IF($A175="",NA(),MAX(0,E175-F175)*IF(G175&gt;0,H175/G175,COMPAREC_PAD)*IF(I175&gt;0,J175/I175,VALIDOS_PAD))</f>
        <v/>
      </c>
      <c r="S175" s="34">
        <f>IF($A175="",NA(),IF(R175&gt;0,0.5-(K175-L175)/(2*R175),0))</f>
        <v/>
      </c>
      <c r="T175" s="34">
        <f>IF($A175="",NA(),IF(R175&lt;=0,IF(K175&gt;L175,1,IF(K175&lt;L175,0,0.5)),1-NORMDIST(S175,P175+AJUSTE,SIGMA,TRUE)))</f>
        <v/>
      </c>
      <c r="U175" s="34">
        <f>IF($A175="",NA(),1-T175)</f>
        <v/>
      </c>
    </row>
    <row r="176"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N176" s="34">
        <f>IF($A176="",NA(),IF(C176&gt;0,D176/C176,0))</f>
        <v/>
      </c>
      <c r="O176" s="34">
        <f>IF($A176="",NA(),IF(E176&gt;0,F176/E176,0))</f>
        <v/>
      </c>
      <c r="P176" s="34">
        <f>IF($A176="",NA(),IF(K176+L176&gt;0,K176/(K176+L176),0.5))</f>
        <v/>
      </c>
      <c r="Q176" s="34">
        <f>IF($A176="",NA(),1-P176)</f>
        <v/>
      </c>
      <c r="R176" s="33">
        <f>IF($A176="",NA(),MAX(0,E176-F176)*IF(G176&gt;0,H176/G176,COMPAREC_PAD)*IF(I176&gt;0,J176/I176,VALIDOS_PAD))</f>
        <v/>
      </c>
      <c r="S176" s="34">
        <f>IF($A176="",NA(),IF(R176&gt;0,0.5-(K176-L176)/(2*R176),0))</f>
        <v/>
      </c>
      <c r="T176" s="34">
        <f>IF($A176="",NA(),IF(R176&lt;=0,IF(K176&gt;L176,1,IF(K176&lt;L176,0,0.5)),1-NORMDIST(S176,P176+AJUSTE,SIGMA,TRUE)))</f>
        <v/>
      </c>
      <c r="U176" s="34">
        <f>IF($A176="",NA(),1-T176)</f>
        <v/>
      </c>
    </row>
    <row r="177"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N177" s="34">
        <f>IF($A177="",NA(),IF(C177&gt;0,D177/C177,0))</f>
        <v/>
      </c>
      <c r="O177" s="34">
        <f>IF($A177="",NA(),IF(E177&gt;0,F177/E177,0))</f>
        <v/>
      </c>
      <c r="P177" s="34">
        <f>IF($A177="",NA(),IF(K177+L177&gt;0,K177/(K177+L177),0.5))</f>
        <v/>
      </c>
      <c r="Q177" s="34">
        <f>IF($A177="",NA(),1-P177)</f>
        <v/>
      </c>
      <c r="R177" s="33">
        <f>IF($A177="",NA(),MAX(0,E177-F177)*IF(G177&gt;0,H177/G177,COMPAREC_PAD)*IF(I177&gt;0,J177/I177,VALIDOS_PAD))</f>
        <v/>
      </c>
      <c r="S177" s="34">
        <f>IF($A177="",NA(),IF(R177&gt;0,0.5-(K177-L177)/(2*R177),0))</f>
        <v/>
      </c>
      <c r="T177" s="34">
        <f>IF($A177="",NA(),IF(R177&lt;=0,IF(K177&gt;L177,1,IF(K177&lt;L177,0,0.5)),1-NORMDIST(S177,P177+AJUSTE,SIGMA,TRUE)))</f>
        <v/>
      </c>
      <c r="U177" s="34">
        <f>IF($A177="",NA(),1-T177)</f>
        <v/>
      </c>
    </row>
    <row r="178"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N178" s="34">
        <f>IF($A178="",NA(),IF(C178&gt;0,D178/C178,0))</f>
        <v/>
      </c>
      <c r="O178" s="34">
        <f>IF($A178="",NA(),IF(E178&gt;0,F178/E178,0))</f>
        <v/>
      </c>
      <c r="P178" s="34">
        <f>IF($A178="",NA(),IF(K178+L178&gt;0,K178/(K178+L178),0.5))</f>
        <v/>
      </c>
      <c r="Q178" s="34">
        <f>IF($A178="",NA(),1-P178)</f>
        <v/>
      </c>
      <c r="R178" s="33">
        <f>IF($A178="",NA(),MAX(0,E178-F178)*IF(G178&gt;0,H178/G178,COMPAREC_PAD)*IF(I178&gt;0,J178/I178,VALIDOS_PAD))</f>
        <v/>
      </c>
      <c r="S178" s="34">
        <f>IF($A178="",NA(),IF(R178&gt;0,0.5-(K178-L178)/(2*R178),0))</f>
        <v/>
      </c>
      <c r="T178" s="34">
        <f>IF($A178="",NA(),IF(R178&lt;=0,IF(K178&gt;L178,1,IF(K178&lt;L178,0,0.5)),1-NORMDIST(S178,P178+AJUSTE,SIGMA,TRUE)))</f>
        <v/>
      </c>
      <c r="U178" s="34">
        <f>IF($A178="",NA(),1-T178)</f>
        <v/>
      </c>
    </row>
    <row r="179"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N179" s="34">
        <f>IF($A179="",NA(),IF(C179&gt;0,D179/C179,0))</f>
        <v/>
      </c>
      <c r="O179" s="34">
        <f>IF($A179="",NA(),IF(E179&gt;0,F179/E179,0))</f>
        <v/>
      </c>
      <c r="P179" s="34">
        <f>IF($A179="",NA(),IF(K179+L179&gt;0,K179/(K179+L179),0.5))</f>
        <v/>
      </c>
      <c r="Q179" s="34">
        <f>IF($A179="",NA(),1-P179)</f>
        <v/>
      </c>
      <c r="R179" s="33">
        <f>IF($A179="",NA(),MAX(0,E179-F179)*IF(G179&gt;0,H179/G179,COMPAREC_PAD)*IF(I179&gt;0,J179/I179,VALIDOS_PAD))</f>
        <v/>
      </c>
      <c r="S179" s="34">
        <f>IF($A179="",NA(),IF(R179&gt;0,0.5-(K179-L179)/(2*R179),0))</f>
        <v/>
      </c>
      <c r="T179" s="34">
        <f>IF($A179="",NA(),IF(R179&lt;=0,IF(K179&gt;L179,1,IF(K179&lt;L179,0,0.5)),1-NORMDIST(S179,P179+AJUSTE,SIGMA,TRUE)))</f>
        <v/>
      </c>
      <c r="U179" s="34">
        <f>IF($A179="",NA(),1-T179)</f>
        <v/>
      </c>
    </row>
    <row r="180"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N180" s="34">
        <f>IF($A180="",NA(),IF(C180&gt;0,D180/C180,0))</f>
        <v/>
      </c>
      <c r="O180" s="34">
        <f>IF($A180="",NA(),IF(E180&gt;0,F180/E180,0))</f>
        <v/>
      </c>
      <c r="P180" s="34">
        <f>IF($A180="",NA(),IF(K180+L180&gt;0,K180/(K180+L180),0.5))</f>
        <v/>
      </c>
      <c r="Q180" s="34">
        <f>IF($A180="",NA(),1-P180)</f>
        <v/>
      </c>
      <c r="R180" s="33">
        <f>IF($A180="",NA(),MAX(0,E180-F180)*IF(G180&gt;0,H180/G180,COMPAREC_PAD)*IF(I180&gt;0,J180/I180,VALIDOS_PAD))</f>
        <v/>
      </c>
      <c r="S180" s="34">
        <f>IF($A180="",NA(),IF(R180&gt;0,0.5-(K180-L180)/(2*R180),0))</f>
        <v/>
      </c>
      <c r="T180" s="34">
        <f>IF($A180="",NA(),IF(R180&lt;=0,IF(K180&gt;L180,1,IF(K180&lt;L180,0,0.5)),1-NORMDIST(S180,P180+AJUSTE,SIGMA,TRUE)))</f>
        <v/>
      </c>
      <c r="U180" s="34">
        <f>IF($A180="",NA(),1-T180)</f>
        <v/>
      </c>
    </row>
    <row r="181"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N181" s="34">
        <f>IF($A181="",NA(),IF(C181&gt;0,D181/C181,0))</f>
        <v/>
      </c>
      <c r="O181" s="34">
        <f>IF($A181="",NA(),IF(E181&gt;0,F181/E181,0))</f>
        <v/>
      </c>
      <c r="P181" s="34">
        <f>IF($A181="",NA(),IF(K181+L181&gt;0,K181/(K181+L181),0.5))</f>
        <v/>
      </c>
      <c r="Q181" s="34">
        <f>IF($A181="",NA(),1-P181)</f>
        <v/>
      </c>
      <c r="R181" s="33">
        <f>IF($A181="",NA(),MAX(0,E181-F181)*IF(G181&gt;0,H181/G181,COMPAREC_PAD)*IF(I181&gt;0,J181/I181,VALIDOS_PAD))</f>
        <v/>
      </c>
      <c r="S181" s="34">
        <f>IF($A181="",NA(),IF(R181&gt;0,0.5-(K181-L181)/(2*R181),0))</f>
        <v/>
      </c>
      <c r="T181" s="34">
        <f>IF($A181="",NA(),IF(R181&lt;=0,IF(K181&gt;L181,1,IF(K181&lt;L181,0,0.5)),1-NORMDIST(S181,P181+AJUSTE,SIGMA,TRUE)))</f>
        <v/>
      </c>
      <c r="U181" s="34">
        <f>IF($A181="",NA(),1-T181)</f>
        <v/>
      </c>
    </row>
    <row r="182"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N182" s="34">
        <f>IF($A182="",NA(),IF(C182&gt;0,D182/C182,0))</f>
        <v/>
      </c>
      <c r="O182" s="34">
        <f>IF($A182="",NA(),IF(E182&gt;0,F182/E182,0))</f>
        <v/>
      </c>
      <c r="P182" s="34">
        <f>IF($A182="",NA(),IF(K182+L182&gt;0,K182/(K182+L182),0.5))</f>
        <v/>
      </c>
      <c r="Q182" s="34">
        <f>IF($A182="",NA(),1-P182)</f>
        <v/>
      </c>
      <c r="R182" s="33">
        <f>IF($A182="",NA(),MAX(0,E182-F182)*IF(G182&gt;0,H182/G182,COMPAREC_PAD)*IF(I182&gt;0,J182/I182,VALIDOS_PAD))</f>
        <v/>
      </c>
      <c r="S182" s="34">
        <f>IF($A182="",NA(),IF(R182&gt;0,0.5-(K182-L182)/(2*R182),0))</f>
        <v/>
      </c>
      <c r="T182" s="34">
        <f>IF($A182="",NA(),IF(R182&lt;=0,IF(K182&gt;L182,1,IF(K182&lt;L182,0,0.5)),1-NORMDIST(S182,P182+AJUSTE,SIGMA,TRUE)))</f>
        <v/>
      </c>
      <c r="U182" s="34">
        <f>IF($A182="",NA(),1-T182)</f>
        <v/>
      </c>
    </row>
    <row r="183"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N183" s="34">
        <f>IF($A183="",NA(),IF(C183&gt;0,D183/C183,0))</f>
        <v/>
      </c>
      <c r="O183" s="34">
        <f>IF($A183="",NA(),IF(E183&gt;0,F183/E183,0))</f>
        <v/>
      </c>
      <c r="P183" s="34">
        <f>IF($A183="",NA(),IF(K183+L183&gt;0,K183/(K183+L183),0.5))</f>
        <v/>
      </c>
      <c r="Q183" s="34">
        <f>IF($A183="",NA(),1-P183)</f>
        <v/>
      </c>
      <c r="R183" s="33">
        <f>IF($A183="",NA(),MAX(0,E183-F183)*IF(G183&gt;0,H183/G183,COMPAREC_PAD)*IF(I183&gt;0,J183/I183,VALIDOS_PAD))</f>
        <v/>
      </c>
      <c r="S183" s="34">
        <f>IF($A183="",NA(),IF(R183&gt;0,0.5-(K183-L183)/(2*R183),0))</f>
        <v/>
      </c>
      <c r="T183" s="34">
        <f>IF($A183="",NA(),IF(R183&lt;=0,IF(K183&gt;L183,1,IF(K183&lt;L183,0,0.5)),1-NORMDIST(S183,P183+AJUSTE,SIGMA,TRUE)))</f>
        <v/>
      </c>
      <c r="U183" s="34">
        <f>IF($A183="",NA(),1-T183)</f>
        <v/>
      </c>
    </row>
    <row r="184"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N184" s="34">
        <f>IF($A184="",NA(),IF(C184&gt;0,D184/C184,0))</f>
        <v/>
      </c>
      <c r="O184" s="34">
        <f>IF($A184="",NA(),IF(E184&gt;0,F184/E184,0))</f>
        <v/>
      </c>
      <c r="P184" s="34">
        <f>IF($A184="",NA(),IF(K184+L184&gt;0,K184/(K184+L184),0.5))</f>
        <v/>
      </c>
      <c r="Q184" s="34">
        <f>IF($A184="",NA(),1-P184)</f>
        <v/>
      </c>
      <c r="R184" s="33">
        <f>IF($A184="",NA(),MAX(0,E184-F184)*IF(G184&gt;0,H184/G184,COMPAREC_PAD)*IF(I184&gt;0,J184/I184,VALIDOS_PAD))</f>
        <v/>
      </c>
      <c r="S184" s="34">
        <f>IF($A184="",NA(),IF(R184&gt;0,0.5-(K184-L184)/(2*R184),0))</f>
        <v/>
      </c>
      <c r="T184" s="34">
        <f>IF($A184="",NA(),IF(R184&lt;=0,IF(K184&gt;L184,1,IF(K184&lt;L184,0,0.5)),1-NORMDIST(S184,P184+AJUSTE,SIGMA,TRUE)))</f>
        <v/>
      </c>
      <c r="U184" s="34">
        <f>IF($A184="",NA(),1-T184)</f>
        <v/>
      </c>
    </row>
    <row r="185"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N185" s="34">
        <f>IF($A185="",NA(),IF(C185&gt;0,D185/C185,0))</f>
        <v/>
      </c>
      <c r="O185" s="34">
        <f>IF($A185="",NA(),IF(E185&gt;0,F185/E185,0))</f>
        <v/>
      </c>
      <c r="P185" s="34">
        <f>IF($A185="",NA(),IF(K185+L185&gt;0,K185/(K185+L185),0.5))</f>
        <v/>
      </c>
      <c r="Q185" s="34">
        <f>IF($A185="",NA(),1-P185)</f>
        <v/>
      </c>
      <c r="R185" s="33">
        <f>IF($A185="",NA(),MAX(0,E185-F185)*IF(G185&gt;0,H185/G185,COMPAREC_PAD)*IF(I185&gt;0,J185/I185,VALIDOS_PAD))</f>
        <v/>
      </c>
      <c r="S185" s="34">
        <f>IF($A185="",NA(),IF(R185&gt;0,0.5-(K185-L185)/(2*R185),0))</f>
        <v/>
      </c>
      <c r="T185" s="34">
        <f>IF($A185="",NA(),IF(R185&lt;=0,IF(K185&gt;L185,1,IF(K185&lt;L185,0,0.5)),1-NORMDIST(S185,P185+AJUSTE,SIGMA,TRUE)))</f>
        <v/>
      </c>
      <c r="U185" s="34">
        <f>IF($A185="",NA(),1-T185)</f>
        <v/>
      </c>
    </row>
    <row r="186"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N186" s="34">
        <f>IF($A186="",NA(),IF(C186&gt;0,D186/C186,0))</f>
        <v/>
      </c>
      <c r="O186" s="34">
        <f>IF($A186="",NA(),IF(E186&gt;0,F186/E186,0))</f>
        <v/>
      </c>
      <c r="P186" s="34">
        <f>IF($A186="",NA(),IF(K186+L186&gt;0,K186/(K186+L186),0.5))</f>
        <v/>
      </c>
      <c r="Q186" s="34">
        <f>IF($A186="",NA(),1-P186)</f>
        <v/>
      </c>
      <c r="R186" s="33">
        <f>IF($A186="",NA(),MAX(0,E186-F186)*IF(G186&gt;0,H186/G186,COMPAREC_PAD)*IF(I186&gt;0,J186/I186,VALIDOS_PAD))</f>
        <v/>
      </c>
      <c r="S186" s="34">
        <f>IF($A186="",NA(),IF(R186&gt;0,0.5-(K186-L186)/(2*R186),0))</f>
        <v/>
      </c>
      <c r="T186" s="34">
        <f>IF($A186="",NA(),IF(R186&lt;=0,IF(K186&gt;L186,1,IF(K186&lt;L186,0,0.5)),1-NORMDIST(S186,P186+AJUSTE,SIGMA,TRUE)))</f>
        <v/>
      </c>
      <c r="U186" s="34">
        <f>IF($A186="",NA(),1-T186)</f>
        <v/>
      </c>
    </row>
    <row r="187"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N187" s="34">
        <f>IF($A187="",NA(),IF(C187&gt;0,D187/C187,0))</f>
        <v/>
      </c>
      <c r="O187" s="34">
        <f>IF($A187="",NA(),IF(E187&gt;0,F187/E187,0))</f>
        <v/>
      </c>
      <c r="P187" s="34">
        <f>IF($A187="",NA(),IF(K187+L187&gt;0,K187/(K187+L187),0.5))</f>
        <v/>
      </c>
      <c r="Q187" s="34">
        <f>IF($A187="",NA(),1-P187)</f>
        <v/>
      </c>
      <c r="R187" s="33">
        <f>IF($A187="",NA(),MAX(0,E187-F187)*IF(G187&gt;0,H187/G187,COMPAREC_PAD)*IF(I187&gt;0,J187/I187,VALIDOS_PAD))</f>
        <v/>
      </c>
      <c r="S187" s="34">
        <f>IF($A187="",NA(),IF(R187&gt;0,0.5-(K187-L187)/(2*R187),0))</f>
        <v/>
      </c>
      <c r="T187" s="34">
        <f>IF($A187="",NA(),IF(R187&lt;=0,IF(K187&gt;L187,1,IF(K187&lt;L187,0,0.5)),1-NORMDIST(S187,P187+AJUSTE,SIGMA,TRUE)))</f>
        <v/>
      </c>
      <c r="U187" s="34">
        <f>IF($A187="",NA(),1-T187)</f>
        <v/>
      </c>
    </row>
    <row r="188"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N188" s="34">
        <f>IF($A188="",NA(),IF(C188&gt;0,D188/C188,0))</f>
        <v/>
      </c>
      <c r="O188" s="34">
        <f>IF($A188="",NA(),IF(E188&gt;0,F188/E188,0))</f>
        <v/>
      </c>
      <c r="P188" s="34">
        <f>IF($A188="",NA(),IF(K188+L188&gt;0,K188/(K188+L188),0.5))</f>
        <v/>
      </c>
      <c r="Q188" s="34">
        <f>IF($A188="",NA(),1-P188)</f>
        <v/>
      </c>
      <c r="R188" s="33">
        <f>IF($A188="",NA(),MAX(0,E188-F188)*IF(G188&gt;0,H188/G188,COMPAREC_PAD)*IF(I188&gt;0,J188/I188,VALIDOS_PAD))</f>
        <v/>
      </c>
      <c r="S188" s="34">
        <f>IF($A188="",NA(),IF(R188&gt;0,0.5-(K188-L188)/(2*R188),0))</f>
        <v/>
      </c>
      <c r="T188" s="34">
        <f>IF($A188="",NA(),IF(R188&lt;=0,IF(K188&gt;L188,1,IF(K188&lt;L188,0,0.5)),1-NORMDIST(S188,P188+AJUSTE,SIGMA,TRUE)))</f>
        <v/>
      </c>
      <c r="U188" s="34">
        <f>IF($A188="",NA(),1-T188)</f>
        <v/>
      </c>
    </row>
    <row r="189"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N189" s="34">
        <f>IF($A189="",NA(),IF(C189&gt;0,D189/C189,0))</f>
        <v/>
      </c>
      <c r="O189" s="34">
        <f>IF($A189="",NA(),IF(E189&gt;0,F189/E189,0))</f>
        <v/>
      </c>
      <c r="P189" s="34">
        <f>IF($A189="",NA(),IF(K189+L189&gt;0,K189/(K189+L189),0.5))</f>
        <v/>
      </c>
      <c r="Q189" s="34">
        <f>IF($A189="",NA(),1-P189)</f>
        <v/>
      </c>
      <c r="R189" s="33">
        <f>IF($A189="",NA(),MAX(0,E189-F189)*IF(G189&gt;0,H189/G189,COMPAREC_PAD)*IF(I189&gt;0,J189/I189,VALIDOS_PAD))</f>
        <v/>
      </c>
      <c r="S189" s="34">
        <f>IF($A189="",NA(),IF(R189&gt;0,0.5-(K189-L189)/(2*R189),0))</f>
        <v/>
      </c>
      <c r="T189" s="34">
        <f>IF($A189="",NA(),IF(R189&lt;=0,IF(K189&gt;L189,1,IF(K189&lt;L189,0,0.5)),1-NORMDIST(S189,P189+AJUSTE,SIGMA,TRUE)))</f>
        <v/>
      </c>
      <c r="U189" s="34">
        <f>IF($A189="",NA(),1-T189)</f>
        <v/>
      </c>
    </row>
    <row r="190"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N190" s="34">
        <f>IF($A190="",NA(),IF(C190&gt;0,D190/C190,0))</f>
        <v/>
      </c>
      <c r="O190" s="34">
        <f>IF($A190="",NA(),IF(E190&gt;0,F190/E190,0))</f>
        <v/>
      </c>
      <c r="P190" s="34">
        <f>IF($A190="",NA(),IF(K190+L190&gt;0,K190/(K190+L190),0.5))</f>
        <v/>
      </c>
      <c r="Q190" s="34">
        <f>IF($A190="",NA(),1-P190)</f>
        <v/>
      </c>
      <c r="R190" s="33">
        <f>IF($A190="",NA(),MAX(0,E190-F190)*IF(G190&gt;0,H190/G190,COMPAREC_PAD)*IF(I190&gt;0,J190/I190,VALIDOS_PAD))</f>
        <v/>
      </c>
      <c r="S190" s="34">
        <f>IF($A190="",NA(),IF(R190&gt;0,0.5-(K190-L190)/(2*R190),0))</f>
        <v/>
      </c>
      <c r="T190" s="34">
        <f>IF($A190="",NA(),IF(R190&lt;=0,IF(K190&gt;L190,1,IF(K190&lt;L190,0,0.5)),1-NORMDIST(S190,P190+AJUSTE,SIGMA,TRUE)))</f>
        <v/>
      </c>
      <c r="U190" s="34">
        <f>IF($A190="",NA(),1-T190)</f>
        <v/>
      </c>
    </row>
    <row r="191"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N191" s="34">
        <f>IF($A191="",NA(),IF(C191&gt;0,D191/C191,0))</f>
        <v/>
      </c>
      <c r="O191" s="34">
        <f>IF($A191="",NA(),IF(E191&gt;0,F191/E191,0))</f>
        <v/>
      </c>
      <c r="P191" s="34">
        <f>IF($A191="",NA(),IF(K191+L191&gt;0,K191/(K191+L191),0.5))</f>
        <v/>
      </c>
      <c r="Q191" s="34">
        <f>IF($A191="",NA(),1-P191)</f>
        <v/>
      </c>
      <c r="R191" s="33">
        <f>IF($A191="",NA(),MAX(0,E191-F191)*IF(G191&gt;0,H191/G191,COMPAREC_PAD)*IF(I191&gt;0,J191/I191,VALIDOS_PAD))</f>
        <v/>
      </c>
      <c r="S191" s="34">
        <f>IF($A191="",NA(),IF(R191&gt;0,0.5-(K191-L191)/(2*R191),0))</f>
        <v/>
      </c>
      <c r="T191" s="34">
        <f>IF($A191="",NA(),IF(R191&lt;=0,IF(K191&gt;L191,1,IF(K191&lt;L191,0,0.5)),1-NORMDIST(S191,P191+AJUSTE,SIGMA,TRUE)))</f>
        <v/>
      </c>
      <c r="U191" s="34">
        <f>IF($A191="",NA(),1-T191)</f>
        <v/>
      </c>
    </row>
    <row r="192"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N192" s="34">
        <f>IF($A192="",NA(),IF(C192&gt;0,D192/C192,0))</f>
        <v/>
      </c>
      <c r="O192" s="34">
        <f>IF($A192="",NA(),IF(E192&gt;0,F192/E192,0))</f>
        <v/>
      </c>
      <c r="P192" s="34">
        <f>IF($A192="",NA(),IF(K192+L192&gt;0,K192/(K192+L192),0.5))</f>
        <v/>
      </c>
      <c r="Q192" s="34">
        <f>IF($A192="",NA(),1-P192)</f>
        <v/>
      </c>
      <c r="R192" s="33">
        <f>IF($A192="",NA(),MAX(0,E192-F192)*IF(G192&gt;0,H192/G192,COMPAREC_PAD)*IF(I192&gt;0,J192/I192,VALIDOS_PAD))</f>
        <v/>
      </c>
      <c r="S192" s="34">
        <f>IF($A192="",NA(),IF(R192&gt;0,0.5-(K192-L192)/(2*R192),0))</f>
        <v/>
      </c>
      <c r="T192" s="34">
        <f>IF($A192="",NA(),IF(R192&lt;=0,IF(K192&gt;L192,1,IF(K192&lt;L192,0,0.5)),1-NORMDIST(S192,P192+AJUSTE,SIGMA,TRUE)))</f>
        <v/>
      </c>
      <c r="U192" s="34">
        <f>IF($A192="",NA(),1-T192)</f>
        <v/>
      </c>
    </row>
    <row r="193"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N193" s="34">
        <f>IF($A193="",NA(),IF(C193&gt;0,D193/C193,0))</f>
        <v/>
      </c>
      <c r="O193" s="34">
        <f>IF($A193="",NA(),IF(E193&gt;0,F193/E193,0))</f>
        <v/>
      </c>
      <c r="P193" s="34">
        <f>IF($A193="",NA(),IF(K193+L193&gt;0,K193/(K193+L193),0.5))</f>
        <v/>
      </c>
      <c r="Q193" s="34">
        <f>IF($A193="",NA(),1-P193)</f>
        <v/>
      </c>
      <c r="R193" s="33">
        <f>IF($A193="",NA(),MAX(0,E193-F193)*IF(G193&gt;0,H193/G193,COMPAREC_PAD)*IF(I193&gt;0,J193/I193,VALIDOS_PAD))</f>
        <v/>
      </c>
      <c r="S193" s="34">
        <f>IF($A193="",NA(),IF(R193&gt;0,0.5-(K193-L193)/(2*R193),0))</f>
        <v/>
      </c>
      <c r="T193" s="34">
        <f>IF($A193="",NA(),IF(R193&lt;=0,IF(K193&gt;L193,1,IF(K193&lt;L193,0,0.5)),1-NORMDIST(S193,P193+AJUSTE,SIGMA,TRUE)))</f>
        <v/>
      </c>
      <c r="U193" s="34">
        <f>IF($A193="",NA(),1-T193)</f>
        <v/>
      </c>
    </row>
    <row r="194"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N194" s="34">
        <f>IF($A194="",NA(),IF(C194&gt;0,D194/C194,0))</f>
        <v/>
      </c>
      <c r="O194" s="34">
        <f>IF($A194="",NA(),IF(E194&gt;0,F194/E194,0))</f>
        <v/>
      </c>
      <c r="P194" s="34">
        <f>IF($A194="",NA(),IF(K194+L194&gt;0,K194/(K194+L194),0.5))</f>
        <v/>
      </c>
      <c r="Q194" s="34">
        <f>IF($A194="",NA(),1-P194)</f>
        <v/>
      </c>
      <c r="R194" s="33">
        <f>IF($A194="",NA(),MAX(0,E194-F194)*IF(G194&gt;0,H194/G194,COMPAREC_PAD)*IF(I194&gt;0,J194/I194,VALIDOS_PAD))</f>
        <v/>
      </c>
      <c r="S194" s="34">
        <f>IF($A194="",NA(),IF(R194&gt;0,0.5-(K194-L194)/(2*R194),0))</f>
        <v/>
      </c>
      <c r="T194" s="34">
        <f>IF($A194="",NA(),IF(R194&lt;=0,IF(K194&gt;L194,1,IF(K194&lt;L194,0,0.5)),1-NORMDIST(S194,P194+AJUSTE,SIGMA,TRUE)))</f>
        <v/>
      </c>
      <c r="U194" s="34">
        <f>IF($A194="",NA(),1-T194)</f>
        <v/>
      </c>
    </row>
    <row r="195"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N195" s="34">
        <f>IF($A195="",NA(),IF(C195&gt;0,D195/C195,0))</f>
        <v/>
      </c>
      <c r="O195" s="34">
        <f>IF($A195="",NA(),IF(E195&gt;0,F195/E195,0))</f>
        <v/>
      </c>
      <c r="P195" s="34">
        <f>IF($A195="",NA(),IF(K195+L195&gt;0,K195/(K195+L195),0.5))</f>
        <v/>
      </c>
      <c r="Q195" s="34">
        <f>IF($A195="",NA(),1-P195)</f>
        <v/>
      </c>
      <c r="R195" s="33">
        <f>IF($A195="",NA(),MAX(0,E195-F195)*IF(G195&gt;0,H195/G195,COMPAREC_PAD)*IF(I195&gt;0,J195/I195,VALIDOS_PAD))</f>
        <v/>
      </c>
      <c r="S195" s="34">
        <f>IF($A195="",NA(),IF(R195&gt;0,0.5-(K195-L195)/(2*R195),0))</f>
        <v/>
      </c>
      <c r="T195" s="34">
        <f>IF($A195="",NA(),IF(R195&lt;=0,IF(K195&gt;L195,1,IF(K195&lt;L195,0,0.5)),1-NORMDIST(S195,P195+AJUSTE,SIGMA,TRUE)))</f>
        <v/>
      </c>
      <c r="U195" s="34">
        <f>IF($A195="",NA(),1-T195)</f>
        <v/>
      </c>
    </row>
    <row r="196"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N196" s="34">
        <f>IF($A196="",NA(),IF(C196&gt;0,D196/C196,0))</f>
        <v/>
      </c>
      <c r="O196" s="34">
        <f>IF($A196="",NA(),IF(E196&gt;0,F196/E196,0))</f>
        <v/>
      </c>
      <c r="P196" s="34">
        <f>IF($A196="",NA(),IF(K196+L196&gt;0,K196/(K196+L196),0.5))</f>
        <v/>
      </c>
      <c r="Q196" s="34">
        <f>IF($A196="",NA(),1-P196)</f>
        <v/>
      </c>
      <c r="R196" s="33">
        <f>IF($A196="",NA(),MAX(0,E196-F196)*IF(G196&gt;0,H196/G196,COMPAREC_PAD)*IF(I196&gt;0,J196/I196,VALIDOS_PAD))</f>
        <v/>
      </c>
      <c r="S196" s="34">
        <f>IF($A196="",NA(),IF(R196&gt;0,0.5-(K196-L196)/(2*R196),0))</f>
        <v/>
      </c>
      <c r="T196" s="34">
        <f>IF($A196="",NA(),IF(R196&lt;=0,IF(K196&gt;L196,1,IF(K196&lt;L196,0,0.5)),1-NORMDIST(S196,P196+AJUSTE,SIGMA,TRUE)))</f>
        <v/>
      </c>
      <c r="U196" s="34">
        <f>IF($A196="",NA(),1-T196)</f>
        <v/>
      </c>
    </row>
    <row r="197"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N197" s="34">
        <f>IF($A197="",NA(),IF(C197&gt;0,D197/C197,0))</f>
        <v/>
      </c>
      <c r="O197" s="34">
        <f>IF($A197="",NA(),IF(E197&gt;0,F197/E197,0))</f>
        <v/>
      </c>
      <c r="P197" s="34">
        <f>IF($A197="",NA(),IF(K197+L197&gt;0,K197/(K197+L197),0.5))</f>
        <v/>
      </c>
      <c r="Q197" s="34">
        <f>IF($A197="",NA(),1-P197)</f>
        <v/>
      </c>
      <c r="R197" s="33">
        <f>IF($A197="",NA(),MAX(0,E197-F197)*IF(G197&gt;0,H197/G197,COMPAREC_PAD)*IF(I197&gt;0,J197/I197,VALIDOS_PAD))</f>
        <v/>
      </c>
      <c r="S197" s="34">
        <f>IF($A197="",NA(),IF(R197&gt;0,0.5-(K197-L197)/(2*R197),0))</f>
        <v/>
      </c>
      <c r="T197" s="34">
        <f>IF($A197="",NA(),IF(R197&lt;=0,IF(K197&gt;L197,1,IF(K197&lt;L197,0,0.5)),1-NORMDIST(S197,P197+AJUSTE,SIGMA,TRUE)))</f>
        <v/>
      </c>
      <c r="U197" s="34">
        <f>IF($A197="",NA(),1-T197)</f>
        <v/>
      </c>
    </row>
    <row r="198"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N198" s="34">
        <f>IF($A198="",NA(),IF(C198&gt;0,D198/C198,0))</f>
        <v/>
      </c>
      <c r="O198" s="34">
        <f>IF($A198="",NA(),IF(E198&gt;0,F198/E198,0))</f>
        <v/>
      </c>
      <c r="P198" s="34">
        <f>IF($A198="",NA(),IF(K198+L198&gt;0,K198/(K198+L198),0.5))</f>
        <v/>
      </c>
      <c r="Q198" s="34">
        <f>IF($A198="",NA(),1-P198)</f>
        <v/>
      </c>
      <c r="R198" s="33">
        <f>IF($A198="",NA(),MAX(0,E198-F198)*IF(G198&gt;0,H198/G198,COMPAREC_PAD)*IF(I198&gt;0,J198/I198,VALIDOS_PAD))</f>
        <v/>
      </c>
      <c r="S198" s="34">
        <f>IF($A198="",NA(),IF(R198&gt;0,0.5-(K198-L198)/(2*R198),0))</f>
        <v/>
      </c>
      <c r="T198" s="34">
        <f>IF($A198="",NA(),IF(R198&lt;=0,IF(K198&gt;L198,1,IF(K198&lt;L198,0,0.5)),1-NORMDIST(S198,P198+AJUSTE,SIGMA,TRUE)))</f>
        <v/>
      </c>
      <c r="U198" s="34">
        <f>IF($A198="",NA(),1-T198)</f>
        <v/>
      </c>
    </row>
    <row r="199"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N199" s="34">
        <f>IF($A199="",NA(),IF(C199&gt;0,D199/C199,0))</f>
        <v/>
      </c>
      <c r="O199" s="34">
        <f>IF($A199="",NA(),IF(E199&gt;0,F199/E199,0))</f>
        <v/>
      </c>
      <c r="P199" s="34">
        <f>IF($A199="",NA(),IF(K199+L199&gt;0,K199/(K199+L199),0.5))</f>
        <v/>
      </c>
      <c r="Q199" s="34">
        <f>IF($A199="",NA(),1-P199)</f>
        <v/>
      </c>
      <c r="R199" s="33">
        <f>IF($A199="",NA(),MAX(0,E199-F199)*IF(G199&gt;0,H199/G199,COMPAREC_PAD)*IF(I199&gt;0,J199/I199,VALIDOS_PAD))</f>
        <v/>
      </c>
      <c r="S199" s="34">
        <f>IF($A199="",NA(),IF(R199&gt;0,0.5-(K199-L199)/(2*R199),0))</f>
        <v/>
      </c>
      <c r="T199" s="34">
        <f>IF($A199="",NA(),IF(R199&lt;=0,IF(K199&gt;L199,1,IF(K199&lt;L199,0,0.5)),1-NORMDIST(S199,P199+AJUSTE,SIGMA,TRUE)))</f>
        <v/>
      </c>
      <c r="U199" s="34">
        <f>IF($A199="",NA(),1-T199)</f>
        <v/>
      </c>
    </row>
    <row r="200"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N200" s="34">
        <f>IF($A200="",NA(),IF(C200&gt;0,D200/C200,0))</f>
        <v/>
      </c>
      <c r="O200" s="34">
        <f>IF($A200="",NA(),IF(E200&gt;0,F200/E200,0))</f>
        <v/>
      </c>
      <c r="P200" s="34">
        <f>IF($A200="",NA(),IF(K200+L200&gt;0,K200/(K200+L200),0.5))</f>
        <v/>
      </c>
      <c r="Q200" s="34">
        <f>IF($A200="",NA(),1-P200)</f>
        <v/>
      </c>
      <c r="R200" s="33">
        <f>IF($A200="",NA(),MAX(0,E200-F200)*IF(G200&gt;0,H200/G200,COMPAREC_PAD)*IF(I200&gt;0,J200/I200,VALIDOS_PAD))</f>
        <v/>
      </c>
      <c r="S200" s="34">
        <f>IF($A200="",NA(),IF(R200&gt;0,0.5-(K200-L200)/(2*R200),0))</f>
        <v/>
      </c>
      <c r="T200" s="34">
        <f>IF($A200="",NA(),IF(R200&lt;=0,IF(K200&gt;L200,1,IF(K200&lt;L200,0,0.5)),1-NORMDIST(S200,P200+AJUSTE,SIGMA,TRUE)))</f>
        <v/>
      </c>
      <c r="U200" s="34">
        <f>IF($A200="",NA(),1-T200)</f>
        <v/>
      </c>
    </row>
    <row r="201"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N201" s="34">
        <f>IF($A201="",NA(),IF(C201&gt;0,D201/C201,0))</f>
        <v/>
      </c>
      <c r="O201" s="34">
        <f>IF($A201="",NA(),IF(E201&gt;0,F201/E201,0))</f>
        <v/>
      </c>
      <c r="P201" s="34">
        <f>IF($A201="",NA(),IF(K201+L201&gt;0,K201/(K201+L201),0.5))</f>
        <v/>
      </c>
      <c r="Q201" s="34">
        <f>IF($A201="",NA(),1-P201)</f>
        <v/>
      </c>
      <c r="R201" s="33">
        <f>IF($A201="",NA(),MAX(0,E201-F201)*IF(G201&gt;0,H201/G201,COMPAREC_PAD)*IF(I201&gt;0,J201/I201,VALIDOS_PAD))</f>
        <v/>
      </c>
      <c r="S201" s="34">
        <f>IF($A201="",NA(),IF(R201&gt;0,0.5-(K201-L201)/(2*R201),0))</f>
        <v/>
      </c>
      <c r="T201" s="34">
        <f>IF($A201="",NA(),IF(R201&lt;=0,IF(K201&gt;L201,1,IF(K201&lt;L201,0,0.5)),1-NORMDIST(S201,P201+AJUSTE,SIGMA,TRUE)))</f>
        <v/>
      </c>
      <c r="U201" s="34">
        <f>IF($A201="",NA(),1-T201)</f>
        <v/>
      </c>
    </row>
    <row r="202"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N202" s="34">
        <f>IF($A202="",NA(),IF(C202&gt;0,D202/C202,0))</f>
        <v/>
      </c>
      <c r="O202" s="34">
        <f>IF($A202="",NA(),IF(E202&gt;0,F202/E202,0))</f>
        <v/>
      </c>
      <c r="P202" s="34">
        <f>IF($A202="",NA(),IF(K202+L202&gt;0,K202/(K202+L202),0.5))</f>
        <v/>
      </c>
      <c r="Q202" s="34">
        <f>IF($A202="",NA(),1-P202)</f>
        <v/>
      </c>
      <c r="R202" s="33">
        <f>IF($A202="",NA(),MAX(0,E202-F202)*IF(G202&gt;0,H202/G202,COMPAREC_PAD)*IF(I202&gt;0,J202/I202,VALIDOS_PAD))</f>
        <v/>
      </c>
      <c r="S202" s="34">
        <f>IF($A202="",NA(),IF(R202&gt;0,0.5-(K202-L202)/(2*R202),0))</f>
        <v/>
      </c>
      <c r="T202" s="34">
        <f>IF($A202="",NA(),IF(R202&lt;=0,IF(K202&gt;L202,1,IF(K202&lt;L202,0,0.5)),1-NORMDIST(S202,P202+AJUSTE,SIGMA,TRUE)))</f>
        <v/>
      </c>
      <c r="U202" s="34">
        <f>IF($A202="",NA(),1-T202)</f>
        <v/>
      </c>
    </row>
    <row r="203"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N203" s="34">
        <f>IF($A203="",NA(),IF(C203&gt;0,D203/C203,0))</f>
        <v/>
      </c>
      <c r="O203" s="34">
        <f>IF($A203="",NA(),IF(E203&gt;0,F203/E203,0))</f>
        <v/>
      </c>
      <c r="P203" s="34">
        <f>IF($A203="",NA(),IF(K203+L203&gt;0,K203/(K203+L203),0.5))</f>
        <v/>
      </c>
      <c r="Q203" s="34">
        <f>IF($A203="",NA(),1-P203)</f>
        <v/>
      </c>
      <c r="R203" s="33">
        <f>IF($A203="",NA(),MAX(0,E203-F203)*IF(G203&gt;0,H203/G203,COMPAREC_PAD)*IF(I203&gt;0,J203/I203,VALIDOS_PAD))</f>
        <v/>
      </c>
      <c r="S203" s="34">
        <f>IF($A203="",NA(),IF(R203&gt;0,0.5-(K203-L203)/(2*R203),0))</f>
        <v/>
      </c>
      <c r="T203" s="34">
        <f>IF($A203="",NA(),IF(R203&lt;=0,IF(K203&gt;L203,1,IF(K203&lt;L203,0,0.5)),1-NORMDIST(S203,P203+AJUSTE,SIGMA,TRUE)))</f>
        <v/>
      </c>
      <c r="U203" s="34">
        <f>IF($A203="",NA(),1-T203)</f>
        <v/>
      </c>
    </row>
    <row r="204"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N204" s="34">
        <f>IF($A204="",NA(),IF(C204&gt;0,D204/C204,0))</f>
        <v/>
      </c>
      <c r="O204" s="34">
        <f>IF($A204="",NA(),IF(E204&gt;0,F204/E204,0))</f>
        <v/>
      </c>
      <c r="P204" s="34">
        <f>IF($A204="",NA(),IF(K204+L204&gt;0,K204/(K204+L204),0.5))</f>
        <v/>
      </c>
      <c r="Q204" s="34">
        <f>IF($A204="",NA(),1-P204)</f>
        <v/>
      </c>
      <c r="R204" s="33">
        <f>IF($A204="",NA(),MAX(0,E204-F204)*IF(G204&gt;0,H204/G204,COMPAREC_PAD)*IF(I204&gt;0,J204/I204,VALIDOS_PAD))</f>
        <v/>
      </c>
      <c r="S204" s="34">
        <f>IF($A204="",NA(),IF(R204&gt;0,0.5-(K204-L204)/(2*R204),0))</f>
        <v/>
      </c>
      <c r="T204" s="34">
        <f>IF($A204="",NA(),IF(R204&lt;=0,IF(K204&gt;L204,1,IF(K204&lt;L204,0,0.5)),1-NORMDIST(S204,P204+AJUSTE,SIGMA,TRUE)))</f>
        <v/>
      </c>
      <c r="U204" s="34">
        <f>IF($A204="",NA(),1-T204)</f>
        <v/>
      </c>
    </row>
    <row r="205"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N205" s="34">
        <f>IF($A205="",NA(),IF(C205&gt;0,D205/C205,0))</f>
        <v/>
      </c>
      <c r="O205" s="34">
        <f>IF($A205="",NA(),IF(E205&gt;0,F205/E205,0))</f>
        <v/>
      </c>
      <c r="P205" s="34">
        <f>IF($A205="",NA(),IF(K205+L205&gt;0,K205/(K205+L205),0.5))</f>
        <v/>
      </c>
      <c r="Q205" s="34">
        <f>IF($A205="",NA(),1-P205)</f>
        <v/>
      </c>
      <c r="R205" s="33">
        <f>IF($A205="",NA(),MAX(0,E205-F205)*IF(G205&gt;0,H205/G205,COMPAREC_PAD)*IF(I205&gt;0,J205/I205,VALIDOS_PAD))</f>
        <v/>
      </c>
      <c r="S205" s="34">
        <f>IF($A205="",NA(),IF(R205&gt;0,0.5-(K205-L205)/(2*R205),0))</f>
        <v/>
      </c>
      <c r="T205" s="34">
        <f>IF($A205="",NA(),IF(R205&lt;=0,IF(K205&gt;L205,1,IF(K205&lt;L205,0,0.5)),1-NORMDIST(S205,P205+AJUSTE,SIGMA,TRUE)))</f>
        <v/>
      </c>
      <c r="U205" s="34">
        <f>IF($A205="",NA(),1-T205)</f>
        <v/>
      </c>
    </row>
    <row r="206"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N206" s="34">
        <f>IF($A206="",NA(),IF(C206&gt;0,D206/C206,0))</f>
        <v/>
      </c>
      <c r="O206" s="34">
        <f>IF($A206="",NA(),IF(E206&gt;0,F206/E206,0))</f>
        <v/>
      </c>
      <c r="P206" s="34">
        <f>IF($A206="",NA(),IF(K206+L206&gt;0,K206/(K206+L206),0.5))</f>
        <v/>
      </c>
      <c r="Q206" s="34">
        <f>IF($A206="",NA(),1-P206)</f>
        <v/>
      </c>
      <c r="R206" s="33">
        <f>IF($A206="",NA(),MAX(0,E206-F206)*IF(G206&gt;0,H206/G206,COMPAREC_PAD)*IF(I206&gt;0,J206/I206,VALIDOS_PAD))</f>
        <v/>
      </c>
      <c r="S206" s="34">
        <f>IF($A206="",NA(),IF(R206&gt;0,0.5-(K206-L206)/(2*R206),0))</f>
        <v/>
      </c>
      <c r="T206" s="34">
        <f>IF($A206="",NA(),IF(R206&lt;=0,IF(K206&gt;L206,1,IF(K206&lt;L206,0,0.5)),1-NORMDIST(S206,P206+AJUSTE,SIGMA,TRUE)))</f>
        <v/>
      </c>
      <c r="U206" s="34">
        <f>IF($A206="",NA(),1-T206)</f>
        <v/>
      </c>
    </row>
    <row r="207"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  <c r="N207" s="34">
        <f>IF($A207="",NA(),IF(C207&gt;0,D207/C207,0))</f>
        <v/>
      </c>
      <c r="O207" s="34">
        <f>IF($A207="",NA(),IF(E207&gt;0,F207/E207,0))</f>
        <v/>
      </c>
      <c r="P207" s="34">
        <f>IF($A207="",NA(),IF(K207+L207&gt;0,K207/(K207+L207),0.5))</f>
        <v/>
      </c>
      <c r="Q207" s="34">
        <f>IF($A207="",NA(),1-P207)</f>
        <v/>
      </c>
      <c r="R207" s="33">
        <f>IF($A207="",NA(),MAX(0,E207-F207)*IF(G207&gt;0,H207/G207,COMPAREC_PAD)*IF(I207&gt;0,J207/I207,VALIDOS_PAD))</f>
        <v/>
      </c>
      <c r="S207" s="34">
        <f>IF($A207="",NA(),IF(R207&gt;0,0.5-(K207-L207)/(2*R207),0))</f>
        <v/>
      </c>
      <c r="T207" s="34">
        <f>IF($A207="",NA(),IF(R207&lt;=0,IF(K207&gt;L207,1,IF(K207&lt;L207,0,0.5)),1-NORMDIST(S207,P207+AJUSTE,SIGMA,TRUE)))</f>
        <v/>
      </c>
      <c r="U207" s="34">
        <f>IF($A207="",NA(),1-T207)</f>
        <v/>
      </c>
    </row>
    <row r="208"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N208" s="34">
        <f>IF($A208="",NA(),IF(C208&gt;0,D208/C208,0))</f>
        <v/>
      </c>
      <c r="O208" s="34">
        <f>IF($A208="",NA(),IF(E208&gt;0,F208/E208,0))</f>
        <v/>
      </c>
      <c r="P208" s="34">
        <f>IF($A208="",NA(),IF(K208+L208&gt;0,K208/(K208+L208),0.5))</f>
        <v/>
      </c>
      <c r="Q208" s="34">
        <f>IF($A208="",NA(),1-P208)</f>
        <v/>
      </c>
      <c r="R208" s="33">
        <f>IF($A208="",NA(),MAX(0,E208-F208)*IF(G208&gt;0,H208/G208,COMPAREC_PAD)*IF(I208&gt;0,J208/I208,VALIDOS_PAD))</f>
        <v/>
      </c>
      <c r="S208" s="34">
        <f>IF($A208="",NA(),IF(R208&gt;0,0.5-(K208-L208)/(2*R208),0))</f>
        <v/>
      </c>
      <c r="T208" s="34">
        <f>IF($A208="",NA(),IF(R208&lt;=0,IF(K208&gt;L208,1,IF(K208&lt;L208,0,0.5)),1-NORMDIST(S208,P208+AJUSTE,SIGMA,TRUE)))</f>
        <v/>
      </c>
      <c r="U208" s="34">
        <f>IF($A208="",NA(),1-T208)</f>
        <v/>
      </c>
    </row>
    <row r="209"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N209" s="34">
        <f>IF($A209="",NA(),IF(C209&gt;0,D209/C209,0))</f>
        <v/>
      </c>
      <c r="O209" s="34">
        <f>IF($A209="",NA(),IF(E209&gt;0,F209/E209,0))</f>
        <v/>
      </c>
      <c r="P209" s="34">
        <f>IF($A209="",NA(),IF(K209+L209&gt;0,K209/(K209+L209),0.5))</f>
        <v/>
      </c>
      <c r="Q209" s="34">
        <f>IF($A209="",NA(),1-P209)</f>
        <v/>
      </c>
      <c r="R209" s="33">
        <f>IF($A209="",NA(),MAX(0,E209-F209)*IF(G209&gt;0,H209/G209,COMPAREC_PAD)*IF(I209&gt;0,J209/I209,VALIDOS_PAD))</f>
        <v/>
      </c>
      <c r="S209" s="34">
        <f>IF($A209="",NA(),IF(R209&gt;0,0.5-(K209-L209)/(2*R209),0))</f>
        <v/>
      </c>
      <c r="T209" s="34">
        <f>IF($A209="",NA(),IF(R209&lt;=0,IF(K209&gt;L209,1,IF(K209&lt;L209,0,0.5)),1-NORMDIST(S209,P209+AJUSTE,SIGMA,TRUE)))</f>
        <v/>
      </c>
      <c r="U209" s="34">
        <f>IF($A209="",NA(),1-T209)</f>
        <v/>
      </c>
    </row>
    <row r="210"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  <c r="N210" s="34">
        <f>IF($A210="",NA(),IF(C210&gt;0,D210/C210,0))</f>
        <v/>
      </c>
      <c r="O210" s="34">
        <f>IF($A210="",NA(),IF(E210&gt;0,F210/E210,0))</f>
        <v/>
      </c>
      <c r="P210" s="34">
        <f>IF($A210="",NA(),IF(K210+L210&gt;0,K210/(K210+L210),0.5))</f>
        <v/>
      </c>
      <c r="Q210" s="34">
        <f>IF($A210="",NA(),1-P210)</f>
        <v/>
      </c>
      <c r="R210" s="33">
        <f>IF($A210="",NA(),MAX(0,E210-F210)*IF(G210&gt;0,H210/G210,COMPAREC_PAD)*IF(I210&gt;0,J210/I210,VALIDOS_PAD))</f>
        <v/>
      </c>
      <c r="S210" s="34">
        <f>IF($A210="",NA(),IF(R210&gt;0,0.5-(K210-L210)/(2*R210),0))</f>
        <v/>
      </c>
      <c r="T210" s="34">
        <f>IF($A210="",NA(),IF(R210&lt;=0,IF(K210&gt;L210,1,IF(K210&lt;L210,0,0.5)),1-NORMDIST(S210,P210+AJUSTE,SIGMA,TRUE)))</f>
        <v/>
      </c>
      <c r="U210" s="34">
        <f>IF($A210="",NA(),1-T210)</f>
        <v/>
      </c>
    </row>
    <row r="211"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  <c r="L211" s="33" t="n"/>
      <c r="N211" s="34">
        <f>IF($A211="",NA(),IF(C211&gt;0,D211/C211,0))</f>
        <v/>
      </c>
      <c r="O211" s="34">
        <f>IF($A211="",NA(),IF(E211&gt;0,F211/E211,0))</f>
        <v/>
      </c>
      <c r="P211" s="34">
        <f>IF($A211="",NA(),IF(K211+L211&gt;0,K211/(K211+L211),0.5))</f>
        <v/>
      </c>
      <c r="Q211" s="34">
        <f>IF($A211="",NA(),1-P211)</f>
        <v/>
      </c>
      <c r="R211" s="33">
        <f>IF($A211="",NA(),MAX(0,E211-F211)*IF(G211&gt;0,H211/G211,COMPAREC_PAD)*IF(I211&gt;0,J211/I211,VALIDOS_PAD))</f>
        <v/>
      </c>
      <c r="S211" s="34">
        <f>IF($A211="",NA(),IF(R211&gt;0,0.5-(K211-L211)/(2*R211),0))</f>
        <v/>
      </c>
      <c r="T211" s="34">
        <f>IF($A211="",NA(),IF(R211&lt;=0,IF(K211&gt;L211,1,IF(K211&lt;L211,0,0.5)),1-NORMDIST(S211,P211+AJUSTE,SIGMA,TRUE)))</f>
        <v/>
      </c>
      <c r="U211" s="34">
        <f>IF($A211="",NA(),1-T211)</f>
        <v/>
      </c>
    </row>
    <row r="212"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3" t="n"/>
      <c r="N212" s="34">
        <f>IF($A212="",NA(),IF(C212&gt;0,D212/C212,0))</f>
        <v/>
      </c>
      <c r="O212" s="34">
        <f>IF($A212="",NA(),IF(E212&gt;0,F212/E212,0))</f>
        <v/>
      </c>
      <c r="P212" s="34">
        <f>IF($A212="",NA(),IF(K212+L212&gt;0,K212/(K212+L212),0.5))</f>
        <v/>
      </c>
      <c r="Q212" s="34">
        <f>IF($A212="",NA(),1-P212)</f>
        <v/>
      </c>
      <c r="R212" s="33">
        <f>IF($A212="",NA(),MAX(0,E212-F212)*IF(G212&gt;0,H212/G212,COMPAREC_PAD)*IF(I212&gt;0,J212/I212,VALIDOS_PAD))</f>
        <v/>
      </c>
      <c r="S212" s="34">
        <f>IF($A212="",NA(),IF(R212&gt;0,0.5-(K212-L212)/(2*R212),0))</f>
        <v/>
      </c>
      <c r="T212" s="34">
        <f>IF($A212="",NA(),IF(R212&lt;=0,IF(K212&gt;L212,1,IF(K212&lt;L212,0,0.5)),1-NORMDIST(S212,P212+AJUSTE,SIGMA,TRUE)))</f>
        <v/>
      </c>
      <c r="U212" s="34">
        <f>IF($A212="",NA(),1-T212)</f>
        <v/>
      </c>
    </row>
    <row r="213"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  <c r="N213" s="34">
        <f>IF($A213="",NA(),IF(C213&gt;0,D213/C213,0))</f>
        <v/>
      </c>
      <c r="O213" s="34">
        <f>IF($A213="",NA(),IF(E213&gt;0,F213/E213,0))</f>
        <v/>
      </c>
      <c r="P213" s="34">
        <f>IF($A213="",NA(),IF(K213+L213&gt;0,K213/(K213+L213),0.5))</f>
        <v/>
      </c>
      <c r="Q213" s="34">
        <f>IF($A213="",NA(),1-P213)</f>
        <v/>
      </c>
      <c r="R213" s="33">
        <f>IF($A213="",NA(),MAX(0,E213-F213)*IF(G213&gt;0,H213/G213,COMPAREC_PAD)*IF(I213&gt;0,J213/I213,VALIDOS_PAD))</f>
        <v/>
      </c>
      <c r="S213" s="34">
        <f>IF($A213="",NA(),IF(R213&gt;0,0.5-(K213-L213)/(2*R213),0))</f>
        <v/>
      </c>
      <c r="T213" s="34">
        <f>IF($A213="",NA(),IF(R213&lt;=0,IF(K213&gt;L213,1,IF(K213&lt;L213,0,0.5)),1-NORMDIST(S213,P213+AJUSTE,SIGMA,TRUE)))</f>
        <v/>
      </c>
      <c r="U213" s="34">
        <f>IF($A213="",NA(),1-T213)</f>
        <v/>
      </c>
    </row>
    <row r="214"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N214" s="34">
        <f>IF($A214="",NA(),IF(C214&gt;0,D214/C214,0))</f>
        <v/>
      </c>
      <c r="O214" s="34">
        <f>IF($A214="",NA(),IF(E214&gt;0,F214/E214,0))</f>
        <v/>
      </c>
      <c r="P214" s="34">
        <f>IF($A214="",NA(),IF(K214+L214&gt;0,K214/(K214+L214),0.5))</f>
        <v/>
      </c>
      <c r="Q214" s="34">
        <f>IF($A214="",NA(),1-P214)</f>
        <v/>
      </c>
      <c r="R214" s="33">
        <f>IF($A214="",NA(),MAX(0,E214-F214)*IF(G214&gt;0,H214/G214,COMPAREC_PAD)*IF(I214&gt;0,J214/I214,VALIDOS_PAD))</f>
        <v/>
      </c>
      <c r="S214" s="34">
        <f>IF($A214="",NA(),IF(R214&gt;0,0.5-(K214-L214)/(2*R214),0))</f>
        <v/>
      </c>
      <c r="T214" s="34">
        <f>IF($A214="",NA(),IF(R214&lt;=0,IF(K214&gt;L214,1,IF(K214&lt;L214,0,0.5)),1-NORMDIST(S214,P214+AJUSTE,SIGMA,TRUE)))</f>
        <v/>
      </c>
      <c r="U214" s="34">
        <f>IF($A214="",NA(),1-T214)</f>
        <v/>
      </c>
    </row>
    <row r="215"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  <c r="L215" s="33" t="n"/>
      <c r="N215" s="34">
        <f>IF($A215="",NA(),IF(C215&gt;0,D215/C215,0))</f>
        <v/>
      </c>
      <c r="O215" s="34">
        <f>IF($A215="",NA(),IF(E215&gt;0,F215/E215,0))</f>
        <v/>
      </c>
      <c r="P215" s="34">
        <f>IF($A215="",NA(),IF(K215+L215&gt;0,K215/(K215+L215),0.5))</f>
        <v/>
      </c>
      <c r="Q215" s="34">
        <f>IF($A215="",NA(),1-P215)</f>
        <v/>
      </c>
      <c r="R215" s="33">
        <f>IF($A215="",NA(),MAX(0,E215-F215)*IF(G215&gt;0,H215/G215,COMPAREC_PAD)*IF(I215&gt;0,J215/I215,VALIDOS_PAD))</f>
        <v/>
      </c>
      <c r="S215" s="34">
        <f>IF($A215="",NA(),IF(R215&gt;0,0.5-(K215-L215)/(2*R215),0))</f>
        <v/>
      </c>
      <c r="T215" s="34">
        <f>IF($A215="",NA(),IF(R215&lt;=0,IF(K215&gt;L215,1,IF(K215&lt;L215,0,0.5)),1-NORMDIST(S215,P215+AJUSTE,SIGMA,TRUE)))</f>
        <v/>
      </c>
      <c r="U215" s="34">
        <f>IF($A215="",NA(),1-T215)</f>
        <v/>
      </c>
    </row>
    <row r="216"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3" t="n"/>
      <c r="N216" s="34">
        <f>IF($A216="",NA(),IF(C216&gt;0,D216/C216,0))</f>
        <v/>
      </c>
      <c r="O216" s="34">
        <f>IF($A216="",NA(),IF(E216&gt;0,F216/E216,0))</f>
        <v/>
      </c>
      <c r="P216" s="34">
        <f>IF($A216="",NA(),IF(K216+L216&gt;0,K216/(K216+L216),0.5))</f>
        <v/>
      </c>
      <c r="Q216" s="34">
        <f>IF($A216="",NA(),1-P216)</f>
        <v/>
      </c>
      <c r="R216" s="33">
        <f>IF($A216="",NA(),MAX(0,E216-F216)*IF(G216&gt;0,H216/G216,COMPAREC_PAD)*IF(I216&gt;0,J216/I216,VALIDOS_PAD))</f>
        <v/>
      </c>
      <c r="S216" s="34">
        <f>IF($A216="",NA(),IF(R216&gt;0,0.5-(K216-L216)/(2*R216),0))</f>
        <v/>
      </c>
      <c r="T216" s="34">
        <f>IF($A216="",NA(),IF(R216&lt;=0,IF(K216&gt;L216,1,IF(K216&lt;L216,0,0.5)),1-NORMDIST(S216,P216+AJUSTE,SIGMA,TRUE)))</f>
        <v/>
      </c>
      <c r="U216" s="34">
        <f>IF($A216="",NA(),1-T216)</f>
        <v/>
      </c>
    </row>
    <row r="217"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N217" s="34">
        <f>IF($A217="",NA(),IF(C217&gt;0,D217/C217,0))</f>
        <v/>
      </c>
      <c r="O217" s="34">
        <f>IF($A217="",NA(),IF(E217&gt;0,F217/E217,0))</f>
        <v/>
      </c>
      <c r="P217" s="34">
        <f>IF($A217="",NA(),IF(K217+L217&gt;0,K217/(K217+L217),0.5))</f>
        <v/>
      </c>
      <c r="Q217" s="34">
        <f>IF($A217="",NA(),1-P217)</f>
        <v/>
      </c>
      <c r="R217" s="33">
        <f>IF($A217="",NA(),MAX(0,E217-F217)*IF(G217&gt;0,H217/G217,COMPAREC_PAD)*IF(I217&gt;0,J217/I217,VALIDOS_PAD))</f>
        <v/>
      </c>
      <c r="S217" s="34">
        <f>IF($A217="",NA(),IF(R217&gt;0,0.5-(K217-L217)/(2*R217),0))</f>
        <v/>
      </c>
      <c r="T217" s="34">
        <f>IF($A217="",NA(),IF(R217&lt;=0,IF(K217&gt;L217,1,IF(K217&lt;L217,0,0.5)),1-NORMDIST(S217,P217+AJUSTE,SIGMA,TRUE)))</f>
        <v/>
      </c>
      <c r="U217" s="34">
        <f>IF($A217="",NA(),1-T217)</f>
        <v/>
      </c>
    </row>
    <row r="218"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N218" s="34">
        <f>IF($A218="",NA(),IF(C218&gt;0,D218/C218,0))</f>
        <v/>
      </c>
      <c r="O218" s="34">
        <f>IF($A218="",NA(),IF(E218&gt;0,F218/E218,0))</f>
        <v/>
      </c>
      <c r="P218" s="34">
        <f>IF($A218="",NA(),IF(K218+L218&gt;0,K218/(K218+L218),0.5))</f>
        <v/>
      </c>
      <c r="Q218" s="34">
        <f>IF($A218="",NA(),1-P218)</f>
        <v/>
      </c>
      <c r="R218" s="33">
        <f>IF($A218="",NA(),MAX(0,E218-F218)*IF(G218&gt;0,H218/G218,COMPAREC_PAD)*IF(I218&gt;0,J218/I218,VALIDOS_PAD))</f>
        <v/>
      </c>
      <c r="S218" s="34">
        <f>IF($A218="",NA(),IF(R218&gt;0,0.5-(K218-L218)/(2*R218),0))</f>
        <v/>
      </c>
      <c r="T218" s="34">
        <f>IF($A218="",NA(),IF(R218&lt;=0,IF(K218&gt;L218,1,IF(K218&lt;L218,0,0.5)),1-NORMDIST(S218,P218+AJUSTE,SIGMA,TRUE)))</f>
        <v/>
      </c>
      <c r="U218" s="34">
        <f>IF($A218="",NA(),1-T218)</f>
        <v/>
      </c>
    </row>
    <row r="219"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N219" s="34">
        <f>IF($A219="",NA(),IF(C219&gt;0,D219/C219,0))</f>
        <v/>
      </c>
      <c r="O219" s="34">
        <f>IF($A219="",NA(),IF(E219&gt;0,F219/E219,0))</f>
        <v/>
      </c>
      <c r="P219" s="34">
        <f>IF($A219="",NA(),IF(K219+L219&gt;0,K219/(K219+L219),0.5))</f>
        <v/>
      </c>
      <c r="Q219" s="34">
        <f>IF($A219="",NA(),1-P219)</f>
        <v/>
      </c>
      <c r="R219" s="33">
        <f>IF($A219="",NA(),MAX(0,E219-F219)*IF(G219&gt;0,H219/G219,COMPAREC_PAD)*IF(I219&gt;0,J219/I219,VALIDOS_PAD))</f>
        <v/>
      </c>
      <c r="S219" s="34">
        <f>IF($A219="",NA(),IF(R219&gt;0,0.5-(K219-L219)/(2*R219),0))</f>
        <v/>
      </c>
      <c r="T219" s="34">
        <f>IF($A219="",NA(),IF(R219&lt;=0,IF(K219&gt;L219,1,IF(K219&lt;L219,0,0.5)),1-NORMDIST(S219,P219+AJUSTE,SIGMA,TRUE)))</f>
        <v/>
      </c>
      <c r="U219" s="34">
        <f>IF($A219="",NA(),1-T219)</f>
        <v/>
      </c>
    </row>
    <row r="220"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N220" s="34">
        <f>IF($A220="",NA(),IF(C220&gt;0,D220/C220,0))</f>
        <v/>
      </c>
      <c r="O220" s="34">
        <f>IF($A220="",NA(),IF(E220&gt;0,F220/E220,0))</f>
        <v/>
      </c>
      <c r="P220" s="34">
        <f>IF($A220="",NA(),IF(K220+L220&gt;0,K220/(K220+L220),0.5))</f>
        <v/>
      </c>
      <c r="Q220" s="34">
        <f>IF($A220="",NA(),1-P220)</f>
        <v/>
      </c>
      <c r="R220" s="33">
        <f>IF($A220="",NA(),MAX(0,E220-F220)*IF(G220&gt;0,H220/G220,COMPAREC_PAD)*IF(I220&gt;0,J220/I220,VALIDOS_PAD))</f>
        <v/>
      </c>
      <c r="S220" s="34">
        <f>IF($A220="",NA(),IF(R220&gt;0,0.5-(K220-L220)/(2*R220),0))</f>
        <v/>
      </c>
      <c r="T220" s="34">
        <f>IF($A220="",NA(),IF(R220&lt;=0,IF(K220&gt;L220,1,IF(K220&lt;L220,0,0.5)),1-NORMDIST(S220,P220+AJUSTE,SIGMA,TRUE)))</f>
        <v/>
      </c>
      <c r="U220" s="34">
        <f>IF($A220="",NA(),1-T220)</f>
        <v/>
      </c>
    </row>
    <row r="221"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  <c r="N221" s="34">
        <f>IF($A221="",NA(),IF(C221&gt;0,D221/C221,0))</f>
        <v/>
      </c>
      <c r="O221" s="34">
        <f>IF($A221="",NA(),IF(E221&gt;0,F221/E221,0))</f>
        <v/>
      </c>
      <c r="P221" s="34">
        <f>IF($A221="",NA(),IF(K221+L221&gt;0,K221/(K221+L221),0.5))</f>
        <v/>
      </c>
      <c r="Q221" s="34">
        <f>IF($A221="",NA(),1-P221)</f>
        <v/>
      </c>
      <c r="R221" s="33">
        <f>IF($A221="",NA(),MAX(0,E221-F221)*IF(G221&gt;0,H221/G221,COMPAREC_PAD)*IF(I221&gt;0,J221/I221,VALIDOS_PAD))</f>
        <v/>
      </c>
      <c r="S221" s="34">
        <f>IF($A221="",NA(),IF(R221&gt;0,0.5-(K221-L221)/(2*R221),0))</f>
        <v/>
      </c>
      <c r="T221" s="34">
        <f>IF($A221="",NA(),IF(R221&lt;=0,IF(K221&gt;L221,1,IF(K221&lt;L221,0,0.5)),1-NORMDIST(S221,P221+AJUSTE,SIGMA,TRUE)))</f>
        <v/>
      </c>
      <c r="U221" s="34">
        <f>IF($A221="",NA(),1-T221)</f>
        <v/>
      </c>
    </row>
    <row r="222"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N222" s="34">
        <f>IF($A222="",NA(),IF(C222&gt;0,D222/C222,0))</f>
        <v/>
      </c>
      <c r="O222" s="34">
        <f>IF($A222="",NA(),IF(E222&gt;0,F222/E222,0))</f>
        <v/>
      </c>
      <c r="P222" s="34">
        <f>IF($A222="",NA(),IF(K222+L222&gt;0,K222/(K222+L222),0.5))</f>
        <v/>
      </c>
      <c r="Q222" s="34">
        <f>IF($A222="",NA(),1-P222)</f>
        <v/>
      </c>
      <c r="R222" s="33">
        <f>IF($A222="",NA(),MAX(0,E222-F222)*IF(G222&gt;0,H222/G222,COMPAREC_PAD)*IF(I222&gt;0,J222/I222,VALIDOS_PAD))</f>
        <v/>
      </c>
      <c r="S222" s="34">
        <f>IF($A222="",NA(),IF(R222&gt;0,0.5-(K222-L222)/(2*R222),0))</f>
        <v/>
      </c>
      <c r="T222" s="34">
        <f>IF($A222="",NA(),IF(R222&lt;=0,IF(K222&gt;L222,1,IF(K222&lt;L222,0,0.5)),1-NORMDIST(S222,P222+AJUSTE,SIGMA,TRUE)))</f>
        <v/>
      </c>
      <c r="U222" s="34">
        <f>IF($A222="",NA(),1-T222)</f>
        <v/>
      </c>
    </row>
    <row r="223"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N223" s="34">
        <f>IF($A223="",NA(),IF(C223&gt;0,D223/C223,0))</f>
        <v/>
      </c>
      <c r="O223" s="34">
        <f>IF($A223="",NA(),IF(E223&gt;0,F223/E223,0))</f>
        <v/>
      </c>
      <c r="P223" s="34">
        <f>IF($A223="",NA(),IF(K223+L223&gt;0,K223/(K223+L223),0.5))</f>
        <v/>
      </c>
      <c r="Q223" s="34">
        <f>IF($A223="",NA(),1-P223)</f>
        <v/>
      </c>
      <c r="R223" s="33">
        <f>IF($A223="",NA(),MAX(0,E223-F223)*IF(G223&gt;0,H223/G223,COMPAREC_PAD)*IF(I223&gt;0,J223/I223,VALIDOS_PAD))</f>
        <v/>
      </c>
      <c r="S223" s="34">
        <f>IF($A223="",NA(),IF(R223&gt;0,0.5-(K223-L223)/(2*R223),0))</f>
        <v/>
      </c>
      <c r="T223" s="34">
        <f>IF($A223="",NA(),IF(R223&lt;=0,IF(K223&gt;L223,1,IF(K223&lt;L223,0,0.5)),1-NORMDIST(S223,P223+AJUSTE,SIGMA,TRUE)))</f>
        <v/>
      </c>
      <c r="U223" s="34">
        <f>IF($A223="",NA(),1-T223)</f>
        <v/>
      </c>
    </row>
    <row r="224"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N224" s="34">
        <f>IF($A224="",NA(),IF(C224&gt;0,D224/C224,0))</f>
        <v/>
      </c>
      <c r="O224" s="34">
        <f>IF($A224="",NA(),IF(E224&gt;0,F224/E224,0))</f>
        <v/>
      </c>
      <c r="P224" s="34">
        <f>IF($A224="",NA(),IF(K224+L224&gt;0,K224/(K224+L224),0.5))</f>
        <v/>
      </c>
      <c r="Q224" s="34">
        <f>IF($A224="",NA(),1-P224)</f>
        <v/>
      </c>
      <c r="R224" s="33">
        <f>IF($A224="",NA(),MAX(0,E224-F224)*IF(G224&gt;0,H224/G224,COMPAREC_PAD)*IF(I224&gt;0,J224/I224,VALIDOS_PAD))</f>
        <v/>
      </c>
      <c r="S224" s="34">
        <f>IF($A224="",NA(),IF(R224&gt;0,0.5-(K224-L224)/(2*R224),0))</f>
        <v/>
      </c>
      <c r="T224" s="34">
        <f>IF($A224="",NA(),IF(R224&lt;=0,IF(K224&gt;L224,1,IF(K224&lt;L224,0,0.5)),1-NORMDIST(S224,P224+AJUSTE,SIGMA,TRUE)))</f>
        <v/>
      </c>
      <c r="U224" s="34">
        <f>IF($A224="",NA(),1-T224)</f>
        <v/>
      </c>
    </row>
    <row r="225"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  <c r="N225" s="34">
        <f>IF($A225="",NA(),IF(C225&gt;0,D225/C225,0))</f>
        <v/>
      </c>
      <c r="O225" s="34">
        <f>IF($A225="",NA(),IF(E225&gt;0,F225/E225,0))</f>
        <v/>
      </c>
      <c r="P225" s="34">
        <f>IF($A225="",NA(),IF(K225+L225&gt;0,K225/(K225+L225),0.5))</f>
        <v/>
      </c>
      <c r="Q225" s="34">
        <f>IF($A225="",NA(),1-P225)</f>
        <v/>
      </c>
      <c r="R225" s="33">
        <f>IF($A225="",NA(),MAX(0,E225-F225)*IF(G225&gt;0,H225/G225,COMPAREC_PAD)*IF(I225&gt;0,J225/I225,VALIDOS_PAD))</f>
        <v/>
      </c>
      <c r="S225" s="34">
        <f>IF($A225="",NA(),IF(R225&gt;0,0.5-(K225-L225)/(2*R225),0))</f>
        <v/>
      </c>
      <c r="T225" s="34">
        <f>IF($A225="",NA(),IF(R225&lt;=0,IF(K225&gt;L225,1,IF(K225&lt;L225,0,0.5)),1-NORMDIST(S225,P225+AJUSTE,SIGMA,TRUE)))</f>
        <v/>
      </c>
      <c r="U225" s="34">
        <f>IF($A225="",NA(),1-T225)</f>
        <v/>
      </c>
    </row>
    <row r="226"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N226" s="34">
        <f>IF($A226="",NA(),IF(C226&gt;0,D226/C226,0))</f>
        <v/>
      </c>
      <c r="O226" s="34">
        <f>IF($A226="",NA(),IF(E226&gt;0,F226/E226,0))</f>
        <v/>
      </c>
      <c r="P226" s="34">
        <f>IF($A226="",NA(),IF(K226+L226&gt;0,K226/(K226+L226),0.5))</f>
        <v/>
      </c>
      <c r="Q226" s="34">
        <f>IF($A226="",NA(),1-P226)</f>
        <v/>
      </c>
      <c r="R226" s="33">
        <f>IF($A226="",NA(),MAX(0,E226-F226)*IF(G226&gt;0,H226/G226,COMPAREC_PAD)*IF(I226&gt;0,J226/I226,VALIDOS_PAD))</f>
        <v/>
      </c>
      <c r="S226" s="34">
        <f>IF($A226="",NA(),IF(R226&gt;0,0.5-(K226-L226)/(2*R226),0))</f>
        <v/>
      </c>
      <c r="T226" s="34">
        <f>IF($A226="",NA(),IF(R226&lt;=0,IF(K226&gt;L226,1,IF(K226&lt;L226,0,0.5)),1-NORMDIST(S226,P226+AJUSTE,SIGMA,TRUE)))</f>
        <v/>
      </c>
      <c r="U226" s="34">
        <f>IF($A226="",NA(),1-T226)</f>
        <v/>
      </c>
    </row>
    <row r="227"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N227" s="34">
        <f>IF($A227="",NA(),IF(C227&gt;0,D227/C227,0))</f>
        <v/>
      </c>
      <c r="O227" s="34">
        <f>IF($A227="",NA(),IF(E227&gt;0,F227/E227,0))</f>
        <v/>
      </c>
      <c r="P227" s="34">
        <f>IF($A227="",NA(),IF(K227+L227&gt;0,K227/(K227+L227),0.5))</f>
        <v/>
      </c>
      <c r="Q227" s="34">
        <f>IF($A227="",NA(),1-P227)</f>
        <v/>
      </c>
      <c r="R227" s="33">
        <f>IF($A227="",NA(),MAX(0,E227-F227)*IF(G227&gt;0,H227/G227,COMPAREC_PAD)*IF(I227&gt;0,J227/I227,VALIDOS_PAD))</f>
        <v/>
      </c>
      <c r="S227" s="34">
        <f>IF($A227="",NA(),IF(R227&gt;0,0.5-(K227-L227)/(2*R227),0))</f>
        <v/>
      </c>
      <c r="T227" s="34">
        <f>IF($A227="",NA(),IF(R227&lt;=0,IF(K227&gt;L227,1,IF(K227&lt;L227,0,0.5)),1-NORMDIST(S227,P227+AJUSTE,SIGMA,TRUE)))</f>
        <v/>
      </c>
      <c r="U227" s="34">
        <f>IF($A227="",NA(),1-T227)</f>
        <v/>
      </c>
    </row>
    <row r="228"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N228" s="34">
        <f>IF($A228="",NA(),IF(C228&gt;0,D228/C228,0))</f>
        <v/>
      </c>
      <c r="O228" s="34">
        <f>IF($A228="",NA(),IF(E228&gt;0,F228/E228,0))</f>
        <v/>
      </c>
      <c r="P228" s="34">
        <f>IF($A228="",NA(),IF(K228+L228&gt;0,K228/(K228+L228),0.5))</f>
        <v/>
      </c>
      <c r="Q228" s="34">
        <f>IF($A228="",NA(),1-P228)</f>
        <v/>
      </c>
      <c r="R228" s="33">
        <f>IF($A228="",NA(),MAX(0,E228-F228)*IF(G228&gt;0,H228/G228,COMPAREC_PAD)*IF(I228&gt;0,J228/I228,VALIDOS_PAD))</f>
        <v/>
      </c>
      <c r="S228" s="34">
        <f>IF($A228="",NA(),IF(R228&gt;0,0.5-(K228-L228)/(2*R228),0))</f>
        <v/>
      </c>
      <c r="T228" s="34">
        <f>IF($A228="",NA(),IF(R228&lt;=0,IF(K228&gt;L228,1,IF(K228&lt;L228,0,0.5)),1-NORMDIST(S228,P228+AJUSTE,SIGMA,TRUE)))</f>
        <v/>
      </c>
      <c r="U228" s="34">
        <f>IF($A228="",NA(),1-T228)</f>
        <v/>
      </c>
    </row>
    <row r="229"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N229" s="34">
        <f>IF($A229="",NA(),IF(C229&gt;0,D229/C229,0))</f>
        <v/>
      </c>
      <c r="O229" s="34">
        <f>IF($A229="",NA(),IF(E229&gt;0,F229/E229,0))</f>
        <v/>
      </c>
      <c r="P229" s="34">
        <f>IF($A229="",NA(),IF(K229+L229&gt;0,K229/(K229+L229),0.5))</f>
        <v/>
      </c>
      <c r="Q229" s="34">
        <f>IF($A229="",NA(),1-P229)</f>
        <v/>
      </c>
      <c r="R229" s="33">
        <f>IF($A229="",NA(),MAX(0,E229-F229)*IF(G229&gt;0,H229/G229,COMPAREC_PAD)*IF(I229&gt;0,J229/I229,VALIDOS_PAD))</f>
        <v/>
      </c>
      <c r="S229" s="34">
        <f>IF($A229="",NA(),IF(R229&gt;0,0.5-(K229-L229)/(2*R229),0))</f>
        <v/>
      </c>
      <c r="T229" s="34">
        <f>IF($A229="",NA(),IF(R229&lt;=0,IF(K229&gt;L229,1,IF(K229&lt;L229,0,0.5)),1-NORMDIST(S229,P229+AJUSTE,SIGMA,TRUE)))</f>
        <v/>
      </c>
      <c r="U229" s="34">
        <f>IF($A229="",NA(),1-T229)</f>
        <v/>
      </c>
    </row>
    <row r="230"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N230" s="34">
        <f>IF($A230="",NA(),IF(C230&gt;0,D230/C230,0))</f>
        <v/>
      </c>
      <c r="O230" s="34">
        <f>IF($A230="",NA(),IF(E230&gt;0,F230/E230,0))</f>
        <v/>
      </c>
      <c r="P230" s="34">
        <f>IF($A230="",NA(),IF(K230+L230&gt;0,K230/(K230+L230),0.5))</f>
        <v/>
      </c>
      <c r="Q230" s="34">
        <f>IF($A230="",NA(),1-P230)</f>
        <v/>
      </c>
      <c r="R230" s="33">
        <f>IF($A230="",NA(),MAX(0,E230-F230)*IF(G230&gt;0,H230/G230,COMPAREC_PAD)*IF(I230&gt;0,J230/I230,VALIDOS_PAD))</f>
        <v/>
      </c>
      <c r="S230" s="34">
        <f>IF($A230="",NA(),IF(R230&gt;0,0.5-(K230-L230)/(2*R230),0))</f>
        <v/>
      </c>
      <c r="T230" s="34">
        <f>IF($A230="",NA(),IF(R230&lt;=0,IF(K230&gt;L230,1,IF(K230&lt;L230,0,0.5)),1-NORMDIST(S230,P230+AJUSTE,SIGMA,TRUE)))</f>
        <v/>
      </c>
      <c r="U230" s="34">
        <f>IF($A230="",NA(),1-T230)</f>
        <v/>
      </c>
    </row>
    <row r="231"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  <c r="N231" s="34">
        <f>IF($A231="",NA(),IF(C231&gt;0,D231/C231,0))</f>
        <v/>
      </c>
      <c r="O231" s="34">
        <f>IF($A231="",NA(),IF(E231&gt;0,F231/E231,0))</f>
        <v/>
      </c>
      <c r="P231" s="34">
        <f>IF($A231="",NA(),IF(K231+L231&gt;0,K231/(K231+L231),0.5))</f>
        <v/>
      </c>
      <c r="Q231" s="34">
        <f>IF($A231="",NA(),1-P231)</f>
        <v/>
      </c>
      <c r="R231" s="33">
        <f>IF($A231="",NA(),MAX(0,E231-F231)*IF(G231&gt;0,H231/G231,COMPAREC_PAD)*IF(I231&gt;0,J231/I231,VALIDOS_PAD))</f>
        <v/>
      </c>
      <c r="S231" s="34">
        <f>IF($A231="",NA(),IF(R231&gt;0,0.5-(K231-L231)/(2*R231),0))</f>
        <v/>
      </c>
      <c r="T231" s="34">
        <f>IF($A231="",NA(),IF(R231&lt;=0,IF(K231&gt;L231,1,IF(K231&lt;L231,0,0.5)),1-NORMDIST(S231,P231+AJUSTE,SIGMA,TRUE)))</f>
        <v/>
      </c>
      <c r="U231" s="34">
        <f>IF($A231="",NA(),1-T231)</f>
        <v/>
      </c>
    </row>
    <row r="232"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3" t="n"/>
      <c r="N232" s="34">
        <f>IF($A232="",NA(),IF(C232&gt;0,D232/C232,0))</f>
        <v/>
      </c>
      <c r="O232" s="34">
        <f>IF($A232="",NA(),IF(E232&gt;0,F232/E232,0))</f>
        <v/>
      </c>
      <c r="P232" s="34">
        <f>IF($A232="",NA(),IF(K232+L232&gt;0,K232/(K232+L232),0.5))</f>
        <v/>
      </c>
      <c r="Q232" s="34">
        <f>IF($A232="",NA(),1-P232)</f>
        <v/>
      </c>
      <c r="R232" s="33">
        <f>IF($A232="",NA(),MAX(0,E232-F232)*IF(G232&gt;0,H232/G232,COMPAREC_PAD)*IF(I232&gt;0,J232/I232,VALIDOS_PAD))</f>
        <v/>
      </c>
      <c r="S232" s="34">
        <f>IF($A232="",NA(),IF(R232&gt;0,0.5-(K232-L232)/(2*R232),0))</f>
        <v/>
      </c>
      <c r="T232" s="34">
        <f>IF($A232="",NA(),IF(R232&lt;=0,IF(K232&gt;L232,1,IF(K232&lt;L232,0,0.5)),1-NORMDIST(S232,P232+AJUSTE,SIGMA,TRUE)))</f>
        <v/>
      </c>
      <c r="U232" s="34">
        <f>IF($A232="",NA(),1-T232)</f>
        <v/>
      </c>
    </row>
    <row r="233"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  <c r="L233" s="33" t="n"/>
      <c r="N233" s="34">
        <f>IF($A233="",NA(),IF(C233&gt;0,D233/C233,0))</f>
        <v/>
      </c>
      <c r="O233" s="34">
        <f>IF($A233="",NA(),IF(E233&gt;0,F233/E233,0))</f>
        <v/>
      </c>
      <c r="P233" s="34">
        <f>IF($A233="",NA(),IF(K233+L233&gt;0,K233/(K233+L233),0.5))</f>
        <v/>
      </c>
      <c r="Q233" s="34">
        <f>IF($A233="",NA(),1-P233)</f>
        <v/>
      </c>
      <c r="R233" s="33">
        <f>IF($A233="",NA(),MAX(0,E233-F233)*IF(G233&gt;0,H233/G233,COMPAREC_PAD)*IF(I233&gt;0,J233/I233,VALIDOS_PAD))</f>
        <v/>
      </c>
      <c r="S233" s="34">
        <f>IF($A233="",NA(),IF(R233&gt;0,0.5-(K233-L233)/(2*R233),0))</f>
        <v/>
      </c>
      <c r="T233" s="34">
        <f>IF($A233="",NA(),IF(R233&lt;=0,IF(K233&gt;L233,1,IF(K233&lt;L233,0,0.5)),1-NORMDIST(S233,P233+AJUSTE,SIGMA,TRUE)))</f>
        <v/>
      </c>
      <c r="U233" s="34">
        <f>IF($A233="",NA(),1-T233)</f>
        <v/>
      </c>
    </row>
    <row r="234"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N234" s="34">
        <f>IF($A234="",NA(),IF(C234&gt;0,D234/C234,0))</f>
        <v/>
      </c>
      <c r="O234" s="34">
        <f>IF($A234="",NA(),IF(E234&gt;0,F234/E234,0))</f>
        <v/>
      </c>
      <c r="P234" s="34">
        <f>IF($A234="",NA(),IF(K234+L234&gt;0,K234/(K234+L234),0.5))</f>
        <v/>
      </c>
      <c r="Q234" s="34">
        <f>IF($A234="",NA(),1-P234)</f>
        <v/>
      </c>
      <c r="R234" s="33">
        <f>IF($A234="",NA(),MAX(0,E234-F234)*IF(G234&gt;0,H234/G234,COMPAREC_PAD)*IF(I234&gt;0,J234/I234,VALIDOS_PAD))</f>
        <v/>
      </c>
      <c r="S234" s="34">
        <f>IF($A234="",NA(),IF(R234&gt;0,0.5-(K234-L234)/(2*R234),0))</f>
        <v/>
      </c>
      <c r="T234" s="34">
        <f>IF($A234="",NA(),IF(R234&lt;=0,IF(K234&gt;L234,1,IF(K234&lt;L234,0,0.5)),1-NORMDIST(S234,P234+AJUSTE,SIGMA,TRUE)))</f>
        <v/>
      </c>
      <c r="U234" s="34">
        <f>IF($A234="",NA(),1-T234)</f>
        <v/>
      </c>
    </row>
    <row r="235"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N235" s="34">
        <f>IF($A235="",NA(),IF(C235&gt;0,D235/C235,0))</f>
        <v/>
      </c>
      <c r="O235" s="34">
        <f>IF($A235="",NA(),IF(E235&gt;0,F235/E235,0))</f>
        <v/>
      </c>
      <c r="P235" s="34">
        <f>IF($A235="",NA(),IF(K235+L235&gt;0,K235/(K235+L235),0.5))</f>
        <v/>
      </c>
      <c r="Q235" s="34">
        <f>IF($A235="",NA(),1-P235)</f>
        <v/>
      </c>
      <c r="R235" s="33">
        <f>IF($A235="",NA(),MAX(0,E235-F235)*IF(G235&gt;0,H235/G235,COMPAREC_PAD)*IF(I235&gt;0,J235/I235,VALIDOS_PAD))</f>
        <v/>
      </c>
      <c r="S235" s="34">
        <f>IF($A235="",NA(),IF(R235&gt;0,0.5-(K235-L235)/(2*R235),0))</f>
        <v/>
      </c>
      <c r="T235" s="34">
        <f>IF($A235="",NA(),IF(R235&lt;=0,IF(K235&gt;L235,1,IF(K235&lt;L235,0,0.5)),1-NORMDIST(S235,P235+AJUSTE,SIGMA,TRUE)))</f>
        <v/>
      </c>
      <c r="U235" s="34">
        <f>IF($A235="",NA(),1-T235)</f>
        <v/>
      </c>
    </row>
    <row r="236"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N236" s="34">
        <f>IF($A236="",NA(),IF(C236&gt;0,D236/C236,0))</f>
        <v/>
      </c>
      <c r="O236" s="34">
        <f>IF($A236="",NA(),IF(E236&gt;0,F236/E236,0))</f>
        <v/>
      </c>
      <c r="P236" s="34">
        <f>IF($A236="",NA(),IF(K236+L236&gt;0,K236/(K236+L236),0.5))</f>
        <v/>
      </c>
      <c r="Q236" s="34">
        <f>IF($A236="",NA(),1-P236)</f>
        <v/>
      </c>
      <c r="R236" s="33">
        <f>IF($A236="",NA(),MAX(0,E236-F236)*IF(G236&gt;0,H236/G236,COMPAREC_PAD)*IF(I236&gt;0,J236/I236,VALIDOS_PAD))</f>
        <v/>
      </c>
      <c r="S236" s="34">
        <f>IF($A236="",NA(),IF(R236&gt;0,0.5-(K236-L236)/(2*R236),0))</f>
        <v/>
      </c>
      <c r="T236" s="34">
        <f>IF($A236="",NA(),IF(R236&lt;=0,IF(K236&gt;L236,1,IF(K236&lt;L236,0,0.5)),1-NORMDIST(S236,P236+AJUSTE,SIGMA,TRUE)))</f>
        <v/>
      </c>
      <c r="U236" s="34">
        <f>IF($A236="",NA(),1-T236)</f>
        <v/>
      </c>
    </row>
    <row r="237"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  <c r="L237" s="33" t="n"/>
      <c r="N237" s="34">
        <f>IF($A237="",NA(),IF(C237&gt;0,D237/C237,0))</f>
        <v/>
      </c>
      <c r="O237" s="34">
        <f>IF($A237="",NA(),IF(E237&gt;0,F237/E237,0))</f>
        <v/>
      </c>
      <c r="P237" s="34">
        <f>IF($A237="",NA(),IF(K237+L237&gt;0,K237/(K237+L237),0.5))</f>
        <v/>
      </c>
      <c r="Q237" s="34">
        <f>IF($A237="",NA(),1-P237)</f>
        <v/>
      </c>
      <c r="R237" s="33">
        <f>IF($A237="",NA(),MAX(0,E237-F237)*IF(G237&gt;0,H237/G237,COMPAREC_PAD)*IF(I237&gt;0,J237/I237,VALIDOS_PAD))</f>
        <v/>
      </c>
      <c r="S237" s="34">
        <f>IF($A237="",NA(),IF(R237&gt;0,0.5-(K237-L237)/(2*R237),0))</f>
        <v/>
      </c>
      <c r="T237" s="34">
        <f>IF($A237="",NA(),IF(R237&lt;=0,IF(K237&gt;L237,1,IF(K237&lt;L237,0,0.5)),1-NORMDIST(S237,P237+AJUSTE,SIGMA,TRUE)))</f>
        <v/>
      </c>
      <c r="U237" s="34">
        <f>IF($A237="",NA(),1-T237)</f>
        <v/>
      </c>
    </row>
    <row r="238"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3" t="n"/>
      <c r="N238" s="34">
        <f>IF($A238="",NA(),IF(C238&gt;0,D238/C238,0))</f>
        <v/>
      </c>
      <c r="O238" s="34">
        <f>IF($A238="",NA(),IF(E238&gt;0,F238/E238,0))</f>
        <v/>
      </c>
      <c r="P238" s="34">
        <f>IF($A238="",NA(),IF(K238+L238&gt;0,K238/(K238+L238),0.5))</f>
        <v/>
      </c>
      <c r="Q238" s="34">
        <f>IF($A238="",NA(),1-P238)</f>
        <v/>
      </c>
      <c r="R238" s="33">
        <f>IF($A238="",NA(),MAX(0,E238-F238)*IF(G238&gt;0,H238/G238,COMPAREC_PAD)*IF(I238&gt;0,J238/I238,VALIDOS_PAD))</f>
        <v/>
      </c>
      <c r="S238" s="34">
        <f>IF($A238="",NA(),IF(R238&gt;0,0.5-(K238-L238)/(2*R238),0))</f>
        <v/>
      </c>
      <c r="T238" s="34">
        <f>IF($A238="",NA(),IF(R238&lt;=0,IF(K238&gt;L238,1,IF(K238&lt;L238,0,0.5)),1-NORMDIST(S238,P238+AJUSTE,SIGMA,TRUE)))</f>
        <v/>
      </c>
      <c r="U238" s="34">
        <f>IF($A238="",NA(),1-T238)</f>
        <v/>
      </c>
    </row>
    <row r="239"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  <c r="L239" s="33" t="n"/>
      <c r="N239" s="34">
        <f>IF($A239="",NA(),IF(C239&gt;0,D239/C239,0))</f>
        <v/>
      </c>
      <c r="O239" s="34">
        <f>IF($A239="",NA(),IF(E239&gt;0,F239/E239,0))</f>
        <v/>
      </c>
      <c r="P239" s="34">
        <f>IF($A239="",NA(),IF(K239+L239&gt;0,K239/(K239+L239),0.5))</f>
        <v/>
      </c>
      <c r="Q239" s="34">
        <f>IF($A239="",NA(),1-P239)</f>
        <v/>
      </c>
      <c r="R239" s="33">
        <f>IF($A239="",NA(),MAX(0,E239-F239)*IF(G239&gt;0,H239/G239,COMPAREC_PAD)*IF(I239&gt;0,J239/I239,VALIDOS_PAD))</f>
        <v/>
      </c>
      <c r="S239" s="34">
        <f>IF($A239="",NA(),IF(R239&gt;0,0.5-(K239-L239)/(2*R239),0))</f>
        <v/>
      </c>
      <c r="T239" s="34">
        <f>IF($A239="",NA(),IF(R239&lt;=0,IF(K239&gt;L239,1,IF(K239&lt;L239,0,0.5)),1-NORMDIST(S239,P239+AJUSTE,SIGMA,TRUE)))</f>
        <v/>
      </c>
      <c r="U239" s="34">
        <f>IF($A239="",NA(),1-T239)</f>
        <v/>
      </c>
    </row>
    <row r="240"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3" t="n"/>
      <c r="N240" s="34">
        <f>IF($A240="",NA(),IF(C240&gt;0,D240/C240,0))</f>
        <v/>
      </c>
      <c r="O240" s="34">
        <f>IF($A240="",NA(),IF(E240&gt;0,F240/E240,0))</f>
        <v/>
      </c>
      <c r="P240" s="34">
        <f>IF($A240="",NA(),IF(K240+L240&gt;0,K240/(K240+L240),0.5))</f>
        <v/>
      </c>
      <c r="Q240" s="34">
        <f>IF($A240="",NA(),1-P240)</f>
        <v/>
      </c>
      <c r="R240" s="33">
        <f>IF($A240="",NA(),MAX(0,E240-F240)*IF(G240&gt;0,H240/G240,COMPAREC_PAD)*IF(I240&gt;0,J240/I240,VALIDOS_PAD))</f>
        <v/>
      </c>
      <c r="S240" s="34">
        <f>IF($A240="",NA(),IF(R240&gt;0,0.5-(K240-L240)/(2*R240),0))</f>
        <v/>
      </c>
      <c r="T240" s="34">
        <f>IF($A240="",NA(),IF(R240&lt;=0,IF(K240&gt;L240,1,IF(K240&lt;L240,0,0.5)),1-NORMDIST(S240,P240+AJUSTE,SIGMA,TRUE)))</f>
        <v/>
      </c>
      <c r="U240" s="34">
        <f>IF($A240="",NA(),1-T240)</f>
        <v/>
      </c>
    </row>
    <row r="241"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  <c r="L241" s="33" t="n"/>
      <c r="N241" s="34">
        <f>IF($A241="",NA(),IF(C241&gt;0,D241/C241,0))</f>
        <v/>
      </c>
      <c r="O241" s="34">
        <f>IF($A241="",NA(),IF(E241&gt;0,F241/E241,0))</f>
        <v/>
      </c>
      <c r="P241" s="34">
        <f>IF($A241="",NA(),IF(K241+L241&gt;0,K241/(K241+L241),0.5))</f>
        <v/>
      </c>
      <c r="Q241" s="34">
        <f>IF($A241="",NA(),1-P241)</f>
        <v/>
      </c>
      <c r="R241" s="33">
        <f>IF($A241="",NA(),MAX(0,E241-F241)*IF(G241&gt;0,H241/G241,COMPAREC_PAD)*IF(I241&gt;0,J241/I241,VALIDOS_PAD))</f>
        <v/>
      </c>
      <c r="S241" s="34">
        <f>IF($A241="",NA(),IF(R241&gt;0,0.5-(K241-L241)/(2*R241),0))</f>
        <v/>
      </c>
      <c r="T241" s="34">
        <f>IF($A241="",NA(),IF(R241&lt;=0,IF(K241&gt;L241,1,IF(K241&lt;L241,0,0.5)),1-NORMDIST(S241,P241+AJUSTE,SIGMA,TRUE)))</f>
        <v/>
      </c>
      <c r="U241" s="34">
        <f>IF($A241="",NA(),1-T241)</f>
        <v/>
      </c>
    </row>
    <row r="242"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N242" s="34">
        <f>IF($A242="",NA(),IF(C242&gt;0,D242/C242,0))</f>
        <v/>
      </c>
      <c r="O242" s="34">
        <f>IF($A242="",NA(),IF(E242&gt;0,F242/E242,0))</f>
        <v/>
      </c>
      <c r="P242" s="34">
        <f>IF($A242="",NA(),IF(K242+L242&gt;0,K242/(K242+L242),0.5))</f>
        <v/>
      </c>
      <c r="Q242" s="34">
        <f>IF($A242="",NA(),1-P242)</f>
        <v/>
      </c>
      <c r="R242" s="33">
        <f>IF($A242="",NA(),MAX(0,E242-F242)*IF(G242&gt;0,H242/G242,COMPAREC_PAD)*IF(I242&gt;0,J242/I242,VALIDOS_PAD))</f>
        <v/>
      </c>
      <c r="S242" s="34">
        <f>IF($A242="",NA(),IF(R242&gt;0,0.5-(K242-L242)/(2*R242),0))</f>
        <v/>
      </c>
      <c r="T242" s="34">
        <f>IF($A242="",NA(),IF(R242&lt;=0,IF(K242&gt;L242,1,IF(K242&lt;L242,0,0.5)),1-NORMDIST(S242,P242+AJUSTE,SIGMA,TRUE)))</f>
        <v/>
      </c>
      <c r="U242" s="34">
        <f>IF($A242="",NA(),1-T242)</f>
        <v/>
      </c>
    </row>
    <row r="243"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N243" s="34">
        <f>IF($A243="",NA(),IF(C243&gt;0,D243/C243,0))</f>
        <v/>
      </c>
      <c r="O243" s="34">
        <f>IF($A243="",NA(),IF(E243&gt;0,F243/E243,0))</f>
        <v/>
      </c>
      <c r="P243" s="34">
        <f>IF($A243="",NA(),IF(K243+L243&gt;0,K243/(K243+L243),0.5))</f>
        <v/>
      </c>
      <c r="Q243" s="34">
        <f>IF($A243="",NA(),1-P243)</f>
        <v/>
      </c>
      <c r="R243" s="33">
        <f>IF($A243="",NA(),MAX(0,E243-F243)*IF(G243&gt;0,H243/G243,COMPAREC_PAD)*IF(I243&gt;0,J243/I243,VALIDOS_PAD))</f>
        <v/>
      </c>
      <c r="S243" s="34">
        <f>IF($A243="",NA(),IF(R243&gt;0,0.5-(K243-L243)/(2*R243),0))</f>
        <v/>
      </c>
      <c r="T243" s="34">
        <f>IF($A243="",NA(),IF(R243&lt;=0,IF(K243&gt;L243,1,IF(K243&lt;L243,0,0.5)),1-NORMDIST(S243,P243+AJUSTE,SIGMA,TRUE)))</f>
        <v/>
      </c>
      <c r="U243" s="34">
        <f>IF($A243="",NA(),1-T243)</f>
        <v/>
      </c>
    </row>
    <row r="244"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N244" s="34">
        <f>IF($A244="",NA(),IF(C244&gt;0,D244/C244,0))</f>
        <v/>
      </c>
      <c r="O244" s="34">
        <f>IF($A244="",NA(),IF(E244&gt;0,F244/E244,0))</f>
        <v/>
      </c>
      <c r="P244" s="34">
        <f>IF($A244="",NA(),IF(K244+L244&gt;0,K244/(K244+L244),0.5))</f>
        <v/>
      </c>
      <c r="Q244" s="34">
        <f>IF($A244="",NA(),1-P244)</f>
        <v/>
      </c>
      <c r="R244" s="33">
        <f>IF($A244="",NA(),MAX(0,E244-F244)*IF(G244&gt;0,H244/G244,COMPAREC_PAD)*IF(I244&gt;0,J244/I244,VALIDOS_PAD))</f>
        <v/>
      </c>
      <c r="S244" s="34">
        <f>IF($A244="",NA(),IF(R244&gt;0,0.5-(K244-L244)/(2*R244),0))</f>
        <v/>
      </c>
      <c r="T244" s="34">
        <f>IF($A244="",NA(),IF(R244&lt;=0,IF(K244&gt;L244,1,IF(K244&lt;L244,0,0.5)),1-NORMDIST(S244,P244+AJUSTE,SIGMA,TRUE)))</f>
        <v/>
      </c>
      <c r="U244" s="34">
        <f>IF($A244="",NA(),1-T244)</f>
        <v/>
      </c>
    </row>
    <row r="245"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  <c r="N245" s="34">
        <f>IF($A245="",NA(),IF(C245&gt;0,D245/C245,0))</f>
        <v/>
      </c>
      <c r="O245" s="34">
        <f>IF($A245="",NA(),IF(E245&gt;0,F245/E245,0))</f>
        <v/>
      </c>
      <c r="P245" s="34">
        <f>IF($A245="",NA(),IF(K245+L245&gt;0,K245/(K245+L245),0.5))</f>
        <v/>
      </c>
      <c r="Q245" s="34">
        <f>IF($A245="",NA(),1-P245)</f>
        <v/>
      </c>
      <c r="R245" s="33">
        <f>IF($A245="",NA(),MAX(0,E245-F245)*IF(G245&gt;0,H245/G245,COMPAREC_PAD)*IF(I245&gt;0,J245/I245,VALIDOS_PAD))</f>
        <v/>
      </c>
      <c r="S245" s="34">
        <f>IF($A245="",NA(),IF(R245&gt;0,0.5-(K245-L245)/(2*R245),0))</f>
        <v/>
      </c>
      <c r="T245" s="34">
        <f>IF($A245="",NA(),IF(R245&lt;=0,IF(K245&gt;L245,1,IF(K245&lt;L245,0,0.5)),1-NORMDIST(S245,P245+AJUSTE,SIGMA,TRUE)))</f>
        <v/>
      </c>
      <c r="U245" s="34">
        <f>IF($A245="",NA(),1-T245)</f>
        <v/>
      </c>
    </row>
    <row r="246"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3" t="n"/>
      <c r="N246" s="34">
        <f>IF($A246="",NA(),IF(C246&gt;0,D246/C246,0))</f>
        <v/>
      </c>
      <c r="O246" s="34">
        <f>IF($A246="",NA(),IF(E246&gt;0,F246/E246,0))</f>
        <v/>
      </c>
      <c r="P246" s="34">
        <f>IF($A246="",NA(),IF(K246+L246&gt;0,K246/(K246+L246),0.5))</f>
        <v/>
      </c>
      <c r="Q246" s="34">
        <f>IF($A246="",NA(),1-P246)</f>
        <v/>
      </c>
      <c r="R246" s="33">
        <f>IF($A246="",NA(),MAX(0,E246-F246)*IF(G246&gt;0,H246/G246,COMPAREC_PAD)*IF(I246&gt;0,J246/I246,VALIDOS_PAD))</f>
        <v/>
      </c>
      <c r="S246" s="34">
        <f>IF($A246="",NA(),IF(R246&gt;0,0.5-(K246-L246)/(2*R246),0))</f>
        <v/>
      </c>
      <c r="T246" s="34">
        <f>IF($A246="",NA(),IF(R246&lt;=0,IF(K246&gt;L246,1,IF(K246&lt;L246,0,0.5)),1-NORMDIST(S246,P246+AJUSTE,SIGMA,TRUE)))</f>
        <v/>
      </c>
      <c r="U246" s="34">
        <f>IF($A246="",NA(),1-T246)</f>
        <v/>
      </c>
    </row>
    <row r="247"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  <c r="L247" s="33" t="n"/>
      <c r="N247" s="34">
        <f>IF($A247="",NA(),IF(C247&gt;0,D247/C247,0))</f>
        <v/>
      </c>
      <c r="O247" s="34">
        <f>IF($A247="",NA(),IF(E247&gt;0,F247/E247,0))</f>
        <v/>
      </c>
      <c r="P247" s="34">
        <f>IF($A247="",NA(),IF(K247+L247&gt;0,K247/(K247+L247),0.5))</f>
        <v/>
      </c>
      <c r="Q247" s="34">
        <f>IF($A247="",NA(),1-P247)</f>
        <v/>
      </c>
      <c r="R247" s="33">
        <f>IF($A247="",NA(),MAX(0,E247-F247)*IF(G247&gt;0,H247/G247,COMPAREC_PAD)*IF(I247&gt;0,J247/I247,VALIDOS_PAD))</f>
        <v/>
      </c>
      <c r="S247" s="34">
        <f>IF($A247="",NA(),IF(R247&gt;0,0.5-(K247-L247)/(2*R247),0))</f>
        <v/>
      </c>
      <c r="T247" s="34">
        <f>IF($A247="",NA(),IF(R247&lt;=0,IF(K247&gt;L247,1,IF(K247&lt;L247,0,0.5)),1-NORMDIST(S247,P247+AJUSTE,SIGMA,TRUE)))</f>
        <v/>
      </c>
      <c r="U247" s="34">
        <f>IF($A247="",NA(),1-T247)</f>
        <v/>
      </c>
    </row>
    <row r="248"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3" t="n"/>
      <c r="N248" s="34">
        <f>IF($A248="",NA(),IF(C248&gt;0,D248/C248,0))</f>
        <v/>
      </c>
      <c r="O248" s="34">
        <f>IF($A248="",NA(),IF(E248&gt;0,F248/E248,0))</f>
        <v/>
      </c>
      <c r="P248" s="34">
        <f>IF($A248="",NA(),IF(K248+L248&gt;0,K248/(K248+L248),0.5))</f>
        <v/>
      </c>
      <c r="Q248" s="34">
        <f>IF($A248="",NA(),1-P248)</f>
        <v/>
      </c>
      <c r="R248" s="33">
        <f>IF($A248="",NA(),MAX(0,E248-F248)*IF(G248&gt;0,H248/G248,COMPAREC_PAD)*IF(I248&gt;0,J248/I248,VALIDOS_PAD))</f>
        <v/>
      </c>
      <c r="S248" s="34">
        <f>IF($A248="",NA(),IF(R248&gt;0,0.5-(K248-L248)/(2*R248),0))</f>
        <v/>
      </c>
      <c r="T248" s="34">
        <f>IF($A248="",NA(),IF(R248&lt;=0,IF(K248&gt;L248,1,IF(K248&lt;L248,0,0.5)),1-NORMDIST(S248,P248+AJUSTE,SIGMA,TRUE)))</f>
        <v/>
      </c>
      <c r="U248" s="34">
        <f>IF($A248="",NA(),1-T248)</f>
        <v/>
      </c>
    </row>
    <row r="249"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  <c r="L249" s="33" t="n"/>
      <c r="N249" s="34">
        <f>IF($A249="",NA(),IF(C249&gt;0,D249/C249,0))</f>
        <v/>
      </c>
      <c r="O249" s="34">
        <f>IF($A249="",NA(),IF(E249&gt;0,F249/E249,0))</f>
        <v/>
      </c>
      <c r="P249" s="34">
        <f>IF($A249="",NA(),IF(K249+L249&gt;0,K249/(K249+L249),0.5))</f>
        <v/>
      </c>
      <c r="Q249" s="34">
        <f>IF($A249="",NA(),1-P249)</f>
        <v/>
      </c>
      <c r="R249" s="33">
        <f>IF($A249="",NA(),MAX(0,E249-F249)*IF(G249&gt;0,H249/G249,COMPAREC_PAD)*IF(I249&gt;0,J249/I249,VALIDOS_PAD))</f>
        <v/>
      </c>
      <c r="S249" s="34">
        <f>IF($A249="",NA(),IF(R249&gt;0,0.5-(K249-L249)/(2*R249),0))</f>
        <v/>
      </c>
      <c r="T249" s="34">
        <f>IF($A249="",NA(),IF(R249&lt;=0,IF(K249&gt;L249,1,IF(K249&lt;L249,0,0.5)),1-NORMDIST(S249,P249+AJUSTE,SIGMA,TRUE)))</f>
        <v/>
      </c>
      <c r="U249" s="34">
        <f>IF($A249="",NA(),1-T249)</f>
        <v/>
      </c>
    </row>
    <row r="250"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3" t="n"/>
      <c r="N250" s="34">
        <f>IF($A250="",NA(),IF(C250&gt;0,D250/C250,0))</f>
        <v/>
      </c>
      <c r="O250" s="34">
        <f>IF($A250="",NA(),IF(E250&gt;0,F250/E250,0))</f>
        <v/>
      </c>
      <c r="P250" s="34">
        <f>IF($A250="",NA(),IF(K250+L250&gt;0,K250/(K250+L250),0.5))</f>
        <v/>
      </c>
      <c r="Q250" s="34">
        <f>IF($A250="",NA(),1-P250)</f>
        <v/>
      </c>
      <c r="R250" s="33">
        <f>IF($A250="",NA(),MAX(0,E250-F250)*IF(G250&gt;0,H250/G250,COMPAREC_PAD)*IF(I250&gt;0,J250/I250,VALIDOS_PAD))</f>
        <v/>
      </c>
      <c r="S250" s="34">
        <f>IF($A250="",NA(),IF(R250&gt;0,0.5-(K250-L250)/(2*R250),0))</f>
        <v/>
      </c>
      <c r="T250" s="34">
        <f>IF($A250="",NA(),IF(R250&lt;=0,IF(K250&gt;L250,1,IF(K250&lt;L250,0,0.5)),1-NORMDIST(S250,P250+AJUSTE,SIGMA,TRUE)))</f>
        <v/>
      </c>
      <c r="U250" s="34">
        <f>IF($A250="",NA(),1-T250)</f>
        <v/>
      </c>
    </row>
    <row r="251"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N251" s="34">
        <f>IF($A251="",NA(),IF(C251&gt;0,D251/C251,0))</f>
        <v/>
      </c>
      <c r="O251" s="34">
        <f>IF($A251="",NA(),IF(E251&gt;0,F251/E251,0))</f>
        <v/>
      </c>
      <c r="P251" s="34">
        <f>IF($A251="",NA(),IF(K251+L251&gt;0,K251/(K251+L251),0.5))</f>
        <v/>
      </c>
      <c r="Q251" s="34">
        <f>IF($A251="",NA(),1-P251)</f>
        <v/>
      </c>
      <c r="R251" s="33">
        <f>IF($A251="",NA(),MAX(0,E251-F251)*IF(G251&gt;0,H251/G251,COMPAREC_PAD)*IF(I251&gt;0,J251/I251,VALIDOS_PAD))</f>
        <v/>
      </c>
      <c r="S251" s="34">
        <f>IF($A251="",NA(),IF(R251&gt;0,0.5-(K251-L251)/(2*R251),0))</f>
        <v/>
      </c>
      <c r="T251" s="34">
        <f>IF($A251="",NA(),IF(R251&lt;=0,IF(K251&gt;L251,1,IF(K251&lt;L251,0,0.5)),1-NORMDIST(S251,P251+AJUSTE,SIGMA,TRUE)))</f>
        <v/>
      </c>
      <c r="U251" s="34">
        <f>IF($A251="",NA(),1-T251)</f>
        <v/>
      </c>
    </row>
    <row r="252"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N252" s="34">
        <f>IF($A252="",NA(),IF(C252&gt;0,D252/C252,0))</f>
        <v/>
      </c>
      <c r="O252" s="34">
        <f>IF($A252="",NA(),IF(E252&gt;0,F252/E252,0))</f>
        <v/>
      </c>
      <c r="P252" s="34">
        <f>IF($A252="",NA(),IF(K252+L252&gt;0,K252/(K252+L252),0.5))</f>
        <v/>
      </c>
      <c r="Q252" s="34">
        <f>IF($A252="",NA(),1-P252)</f>
        <v/>
      </c>
      <c r="R252" s="33">
        <f>IF($A252="",NA(),MAX(0,E252-F252)*IF(G252&gt;0,H252/G252,COMPAREC_PAD)*IF(I252&gt;0,J252/I252,VALIDOS_PAD))</f>
        <v/>
      </c>
      <c r="S252" s="34">
        <f>IF($A252="",NA(),IF(R252&gt;0,0.5-(K252-L252)/(2*R252),0))</f>
        <v/>
      </c>
      <c r="T252" s="34">
        <f>IF($A252="",NA(),IF(R252&lt;=0,IF(K252&gt;L252,1,IF(K252&lt;L252,0,0.5)),1-NORMDIST(S252,P252+AJUSTE,SIGMA,TRUE)))</f>
        <v/>
      </c>
      <c r="U252" s="34">
        <f>IF($A252="",NA(),1-T252)</f>
        <v/>
      </c>
    </row>
    <row r="253"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  <c r="N253" s="34">
        <f>IF($A253="",NA(),IF(C253&gt;0,D253/C253,0))</f>
        <v/>
      </c>
      <c r="O253" s="34">
        <f>IF($A253="",NA(),IF(E253&gt;0,F253/E253,0))</f>
        <v/>
      </c>
      <c r="P253" s="34">
        <f>IF($A253="",NA(),IF(K253+L253&gt;0,K253/(K253+L253),0.5))</f>
        <v/>
      </c>
      <c r="Q253" s="34">
        <f>IF($A253="",NA(),1-P253)</f>
        <v/>
      </c>
      <c r="R253" s="33">
        <f>IF($A253="",NA(),MAX(0,E253-F253)*IF(G253&gt;0,H253/G253,COMPAREC_PAD)*IF(I253&gt;0,J253/I253,VALIDOS_PAD))</f>
        <v/>
      </c>
      <c r="S253" s="34">
        <f>IF($A253="",NA(),IF(R253&gt;0,0.5-(K253-L253)/(2*R253),0))</f>
        <v/>
      </c>
      <c r="T253" s="34">
        <f>IF($A253="",NA(),IF(R253&lt;=0,IF(K253&gt;L253,1,IF(K253&lt;L253,0,0.5)),1-NORMDIST(S253,P253+AJUSTE,SIGMA,TRUE)))</f>
        <v/>
      </c>
      <c r="U253" s="34">
        <f>IF($A253="",NA(),1-T253)</f>
        <v/>
      </c>
    </row>
    <row r="254"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3" t="n"/>
      <c r="N254" s="34">
        <f>IF($A254="",NA(),IF(C254&gt;0,D254/C254,0))</f>
        <v/>
      </c>
      <c r="O254" s="34">
        <f>IF($A254="",NA(),IF(E254&gt;0,F254/E254,0))</f>
        <v/>
      </c>
      <c r="P254" s="34">
        <f>IF($A254="",NA(),IF(K254+L254&gt;0,K254/(K254+L254),0.5))</f>
        <v/>
      </c>
      <c r="Q254" s="34">
        <f>IF($A254="",NA(),1-P254)</f>
        <v/>
      </c>
      <c r="R254" s="33">
        <f>IF($A254="",NA(),MAX(0,E254-F254)*IF(G254&gt;0,H254/G254,COMPAREC_PAD)*IF(I254&gt;0,J254/I254,VALIDOS_PAD))</f>
        <v/>
      </c>
      <c r="S254" s="34">
        <f>IF($A254="",NA(),IF(R254&gt;0,0.5-(K254-L254)/(2*R254),0))</f>
        <v/>
      </c>
      <c r="T254" s="34">
        <f>IF($A254="",NA(),IF(R254&lt;=0,IF(K254&gt;L254,1,IF(K254&lt;L254,0,0.5)),1-NORMDIST(S254,P254+AJUSTE,SIGMA,TRUE)))</f>
        <v/>
      </c>
      <c r="U254" s="34">
        <f>IF($A254="",NA(),1-T254)</f>
        <v/>
      </c>
    </row>
    <row r="255"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  <c r="L255" s="33" t="n"/>
      <c r="N255" s="34">
        <f>IF($A255="",NA(),IF(C255&gt;0,D255/C255,0))</f>
        <v/>
      </c>
      <c r="O255" s="34">
        <f>IF($A255="",NA(),IF(E255&gt;0,F255/E255,0))</f>
        <v/>
      </c>
      <c r="P255" s="34">
        <f>IF($A255="",NA(),IF(K255+L255&gt;0,K255/(K255+L255),0.5))</f>
        <v/>
      </c>
      <c r="Q255" s="34">
        <f>IF($A255="",NA(),1-P255)</f>
        <v/>
      </c>
      <c r="R255" s="33">
        <f>IF($A255="",NA(),MAX(0,E255-F255)*IF(G255&gt;0,H255/G255,COMPAREC_PAD)*IF(I255&gt;0,J255/I255,VALIDOS_PAD))</f>
        <v/>
      </c>
      <c r="S255" s="34">
        <f>IF($A255="",NA(),IF(R255&gt;0,0.5-(K255-L255)/(2*R255),0))</f>
        <v/>
      </c>
      <c r="T255" s="34">
        <f>IF($A255="",NA(),IF(R255&lt;=0,IF(K255&gt;L255,1,IF(K255&lt;L255,0,0.5)),1-NORMDIST(S255,P255+AJUSTE,SIGMA,TRUE)))</f>
        <v/>
      </c>
      <c r="U255" s="34">
        <f>IF($A255="",NA(),1-T255)</f>
        <v/>
      </c>
    </row>
    <row r="256">
      <c r="C256" s="33" t="n"/>
      <c r="D256" s="33" t="n"/>
      <c r="E256" s="33" t="n"/>
      <c r="F256" s="33" t="n"/>
      <c r="G256" s="33" t="n"/>
      <c r="H256" s="33" t="n"/>
      <c r="I256" s="33" t="n"/>
      <c r="J256" s="33" t="n"/>
      <c r="K256" s="33" t="n"/>
      <c r="L256" s="33" t="n"/>
      <c r="N256" s="34">
        <f>IF($A256="",NA(),IF(C256&gt;0,D256/C256,0))</f>
        <v/>
      </c>
      <c r="O256" s="34">
        <f>IF($A256="",NA(),IF(E256&gt;0,F256/E256,0))</f>
        <v/>
      </c>
      <c r="P256" s="34">
        <f>IF($A256="",NA(),IF(K256+L256&gt;0,K256/(K256+L256),0.5))</f>
        <v/>
      </c>
      <c r="Q256" s="34">
        <f>IF($A256="",NA(),1-P256)</f>
        <v/>
      </c>
      <c r="R256" s="33">
        <f>IF($A256="",NA(),MAX(0,E256-F256)*IF(G256&gt;0,H256/G256,COMPAREC_PAD)*IF(I256&gt;0,J256/I256,VALIDOS_PAD))</f>
        <v/>
      </c>
      <c r="S256" s="34">
        <f>IF($A256="",NA(),IF(R256&gt;0,0.5-(K256-L256)/(2*R256),0))</f>
        <v/>
      </c>
      <c r="T256" s="34">
        <f>IF($A256="",NA(),IF(R256&lt;=0,IF(K256&gt;L256,1,IF(K256&lt;L256,0,0.5)),1-NORMDIST(S256,P256+AJUSTE,SIGMA,TRUE)))</f>
        <v/>
      </c>
      <c r="U256" s="34">
        <f>IF($A256="",NA(),1-T256)</f>
        <v/>
      </c>
    </row>
    <row r="257"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  <c r="L257" s="33" t="n"/>
      <c r="N257" s="34">
        <f>IF($A257="",NA(),IF(C257&gt;0,D257/C257,0))</f>
        <v/>
      </c>
      <c r="O257" s="34">
        <f>IF($A257="",NA(),IF(E257&gt;0,F257/E257,0))</f>
        <v/>
      </c>
      <c r="P257" s="34">
        <f>IF($A257="",NA(),IF(K257+L257&gt;0,K257/(K257+L257),0.5))</f>
        <v/>
      </c>
      <c r="Q257" s="34">
        <f>IF($A257="",NA(),1-P257)</f>
        <v/>
      </c>
      <c r="R257" s="33">
        <f>IF($A257="",NA(),MAX(0,E257-F257)*IF(G257&gt;0,H257/G257,COMPAREC_PAD)*IF(I257&gt;0,J257/I257,VALIDOS_PAD))</f>
        <v/>
      </c>
      <c r="S257" s="34">
        <f>IF($A257="",NA(),IF(R257&gt;0,0.5-(K257-L257)/(2*R257),0))</f>
        <v/>
      </c>
      <c r="T257" s="34">
        <f>IF($A257="",NA(),IF(R257&lt;=0,IF(K257&gt;L257,1,IF(K257&lt;L257,0,0.5)),1-NORMDIST(S257,P257+AJUSTE,SIGMA,TRUE)))</f>
        <v/>
      </c>
      <c r="U257" s="34">
        <f>IF($A257="",NA(),1-T257)</f>
        <v/>
      </c>
    </row>
    <row r="258"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N258" s="34">
        <f>IF($A258="",NA(),IF(C258&gt;0,D258/C258,0))</f>
        <v/>
      </c>
      <c r="O258" s="34">
        <f>IF($A258="",NA(),IF(E258&gt;0,F258/E258,0))</f>
        <v/>
      </c>
      <c r="P258" s="34">
        <f>IF($A258="",NA(),IF(K258+L258&gt;0,K258/(K258+L258),0.5))</f>
        <v/>
      </c>
      <c r="Q258" s="34">
        <f>IF($A258="",NA(),1-P258)</f>
        <v/>
      </c>
      <c r="R258" s="33">
        <f>IF($A258="",NA(),MAX(0,E258-F258)*IF(G258&gt;0,H258/G258,COMPAREC_PAD)*IF(I258&gt;0,J258/I258,VALIDOS_PAD))</f>
        <v/>
      </c>
      <c r="S258" s="34">
        <f>IF($A258="",NA(),IF(R258&gt;0,0.5-(K258-L258)/(2*R258),0))</f>
        <v/>
      </c>
      <c r="T258" s="34">
        <f>IF($A258="",NA(),IF(R258&lt;=0,IF(K258&gt;L258,1,IF(K258&lt;L258,0,0.5)),1-NORMDIST(S258,P258+AJUSTE,SIGMA,TRUE)))</f>
        <v/>
      </c>
      <c r="U258" s="34">
        <f>IF($A258="",NA(),1-T258)</f>
        <v/>
      </c>
    </row>
    <row r="259"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N259" s="34">
        <f>IF($A259="",NA(),IF(C259&gt;0,D259/C259,0))</f>
        <v/>
      </c>
      <c r="O259" s="34">
        <f>IF($A259="",NA(),IF(E259&gt;0,F259/E259,0))</f>
        <v/>
      </c>
      <c r="P259" s="34">
        <f>IF($A259="",NA(),IF(K259+L259&gt;0,K259/(K259+L259),0.5))</f>
        <v/>
      </c>
      <c r="Q259" s="34">
        <f>IF($A259="",NA(),1-P259)</f>
        <v/>
      </c>
      <c r="R259" s="33">
        <f>IF($A259="",NA(),MAX(0,E259-F259)*IF(G259&gt;0,H259/G259,COMPAREC_PAD)*IF(I259&gt;0,J259/I259,VALIDOS_PAD))</f>
        <v/>
      </c>
      <c r="S259" s="34">
        <f>IF($A259="",NA(),IF(R259&gt;0,0.5-(K259-L259)/(2*R259),0))</f>
        <v/>
      </c>
      <c r="T259" s="34">
        <f>IF($A259="",NA(),IF(R259&lt;=0,IF(K259&gt;L259,1,IF(K259&lt;L259,0,0.5)),1-NORMDIST(S259,P259+AJUSTE,SIGMA,TRUE)))</f>
        <v/>
      </c>
      <c r="U259" s="34">
        <f>IF($A259="",NA(),1-T259)</f>
        <v/>
      </c>
    </row>
    <row r="260"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N260" s="34">
        <f>IF($A260="",NA(),IF(C260&gt;0,D260/C260,0))</f>
        <v/>
      </c>
      <c r="O260" s="34">
        <f>IF($A260="",NA(),IF(E260&gt;0,F260/E260,0))</f>
        <v/>
      </c>
      <c r="P260" s="34">
        <f>IF($A260="",NA(),IF(K260+L260&gt;0,K260/(K260+L260),0.5))</f>
        <v/>
      </c>
      <c r="Q260" s="34">
        <f>IF($A260="",NA(),1-P260)</f>
        <v/>
      </c>
      <c r="R260" s="33">
        <f>IF($A260="",NA(),MAX(0,E260-F260)*IF(G260&gt;0,H260/G260,COMPAREC_PAD)*IF(I260&gt;0,J260/I260,VALIDOS_PAD))</f>
        <v/>
      </c>
      <c r="S260" s="34">
        <f>IF($A260="",NA(),IF(R260&gt;0,0.5-(K260-L260)/(2*R260),0))</f>
        <v/>
      </c>
      <c r="T260" s="34">
        <f>IF($A260="",NA(),IF(R260&lt;=0,IF(K260&gt;L260,1,IF(K260&lt;L260,0,0.5)),1-NORMDIST(S260,P260+AJUSTE,SIGMA,TRUE)))</f>
        <v/>
      </c>
      <c r="U260" s="34">
        <f>IF($A260="",NA(),1-T260)</f>
        <v/>
      </c>
    </row>
    <row r="261">
      <c r="C261" s="33" t="n"/>
      <c r="D261" s="33" t="n"/>
      <c r="E261" s="33" t="n"/>
      <c r="F261" s="33" t="n"/>
      <c r="G261" s="33" t="n"/>
      <c r="H261" s="33" t="n"/>
      <c r="I261" s="33" t="n"/>
      <c r="J261" s="33" t="n"/>
      <c r="K261" s="33" t="n"/>
      <c r="L261" s="33" t="n"/>
      <c r="N261" s="34">
        <f>IF($A261="",NA(),IF(C261&gt;0,D261/C261,0))</f>
        <v/>
      </c>
      <c r="O261" s="34">
        <f>IF($A261="",NA(),IF(E261&gt;0,F261/E261,0))</f>
        <v/>
      </c>
      <c r="P261" s="34">
        <f>IF($A261="",NA(),IF(K261+L261&gt;0,K261/(K261+L261),0.5))</f>
        <v/>
      </c>
      <c r="Q261" s="34">
        <f>IF($A261="",NA(),1-P261)</f>
        <v/>
      </c>
      <c r="R261" s="33">
        <f>IF($A261="",NA(),MAX(0,E261-F261)*IF(G261&gt;0,H261/G261,COMPAREC_PAD)*IF(I261&gt;0,J261/I261,VALIDOS_PAD))</f>
        <v/>
      </c>
      <c r="S261" s="34">
        <f>IF($A261="",NA(),IF(R261&gt;0,0.5-(K261-L261)/(2*R261),0))</f>
        <v/>
      </c>
      <c r="T261" s="34">
        <f>IF($A261="",NA(),IF(R261&lt;=0,IF(K261&gt;L261,1,IF(K261&lt;L261,0,0.5)),1-NORMDIST(S261,P261+AJUSTE,SIGMA,TRUE)))</f>
        <v/>
      </c>
      <c r="U261" s="34">
        <f>IF($A261="",NA(),1-T261)</f>
        <v/>
      </c>
    </row>
    <row r="262">
      <c r="C262" s="33" t="n"/>
      <c r="D262" s="33" t="n"/>
      <c r="E262" s="33" t="n"/>
      <c r="F262" s="33" t="n"/>
      <c r="G262" s="33" t="n"/>
      <c r="H262" s="33" t="n"/>
      <c r="I262" s="33" t="n"/>
      <c r="J262" s="33" t="n"/>
      <c r="K262" s="33" t="n"/>
      <c r="L262" s="33" t="n"/>
      <c r="N262" s="34">
        <f>IF($A262="",NA(),IF(C262&gt;0,D262/C262,0))</f>
        <v/>
      </c>
      <c r="O262" s="34">
        <f>IF($A262="",NA(),IF(E262&gt;0,F262/E262,0))</f>
        <v/>
      </c>
      <c r="P262" s="34">
        <f>IF($A262="",NA(),IF(K262+L262&gt;0,K262/(K262+L262),0.5))</f>
        <v/>
      </c>
      <c r="Q262" s="34">
        <f>IF($A262="",NA(),1-P262)</f>
        <v/>
      </c>
      <c r="R262" s="33">
        <f>IF($A262="",NA(),MAX(0,E262-F262)*IF(G262&gt;0,H262/G262,COMPAREC_PAD)*IF(I262&gt;0,J262/I262,VALIDOS_PAD))</f>
        <v/>
      </c>
      <c r="S262" s="34">
        <f>IF($A262="",NA(),IF(R262&gt;0,0.5-(K262-L262)/(2*R262),0))</f>
        <v/>
      </c>
      <c r="T262" s="34">
        <f>IF($A262="",NA(),IF(R262&lt;=0,IF(K262&gt;L262,1,IF(K262&lt;L262,0,0.5)),1-NORMDIST(S262,P262+AJUSTE,SIGMA,TRUE)))</f>
        <v/>
      </c>
      <c r="U262" s="34">
        <f>IF($A262="",NA(),1-T262)</f>
        <v/>
      </c>
    </row>
    <row r="263">
      <c r="C263" s="33" t="n"/>
      <c r="D263" s="33" t="n"/>
      <c r="E263" s="33" t="n"/>
      <c r="F263" s="33" t="n"/>
      <c r="G263" s="33" t="n"/>
      <c r="H263" s="33" t="n"/>
      <c r="I263" s="33" t="n"/>
      <c r="J263" s="33" t="n"/>
      <c r="K263" s="33" t="n"/>
      <c r="L263" s="33" t="n"/>
      <c r="N263" s="34">
        <f>IF($A263="",NA(),IF(C263&gt;0,D263/C263,0))</f>
        <v/>
      </c>
      <c r="O263" s="34">
        <f>IF($A263="",NA(),IF(E263&gt;0,F263/E263,0))</f>
        <v/>
      </c>
      <c r="P263" s="34">
        <f>IF($A263="",NA(),IF(K263+L263&gt;0,K263/(K263+L263),0.5))</f>
        <v/>
      </c>
      <c r="Q263" s="34">
        <f>IF($A263="",NA(),1-P263)</f>
        <v/>
      </c>
      <c r="R263" s="33">
        <f>IF($A263="",NA(),MAX(0,E263-F263)*IF(G263&gt;0,H263/G263,COMPAREC_PAD)*IF(I263&gt;0,J263/I263,VALIDOS_PAD))</f>
        <v/>
      </c>
      <c r="S263" s="34">
        <f>IF($A263="",NA(),IF(R263&gt;0,0.5-(K263-L263)/(2*R263),0))</f>
        <v/>
      </c>
      <c r="T263" s="34">
        <f>IF($A263="",NA(),IF(R263&lt;=0,IF(K263&gt;L263,1,IF(K263&lt;L263,0,0.5)),1-NORMDIST(S263,P263+AJUSTE,SIGMA,TRUE)))</f>
        <v/>
      </c>
      <c r="U263" s="34">
        <f>IF($A263="",NA(),1-T263)</f>
        <v/>
      </c>
    </row>
    <row r="264"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N264" s="34">
        <f>IF($A264="",NA(),IF(C264&gt;0,D264/C264,0))</f>
        <v/>
      </c>
      <c r="O264" s="34">
        <f>IF($A264="",NA(),IF(E264&gt;0,F264/E264,0))</f>
        <v/>
      </c>
      <c r="P264" s="34">
        <f>IF($A264="",NA(),IF(K264+L264&gt;0,K264/(K264+L264),0.5))</f>
        <v/>
      </c>
      <c r="Q264" s="34">
        <f>IF($A264="",NA(),1-P264)</f>
        <v/>
      </c>
      <c r="R264" s="33">
        <f>IF($A264="",NA(),MAX(0,E264-F264)*IF(G264&gt;0,H264/G264,COMPAREC_PAD)*IF(I264&gt;0,J264/I264,VALIDOS_PAD))</f>
        <v/>
      </c>
      <c r="S264" s="34">
        <f>IF($A264="",NA(),IF(R264&gt;0,0.5-(K264-L264)/(2*R264),0))</f>
        <v/>
      </c>
      <c r="T264" s="34">
        <f>IF($A264="",NA(),IF(R264&lt;=0,IF(K264&gt;L264,1,IF(K264&lt;L264,0,0.5)),1-NORMDIST(S264,P264+AJUSTE,SIGMA,TRUE)))</f>
        <v/>
      </c>
      <c r="U264" s="34">
        <f>IF($A264="",NA(),1-T264)</f>
        <v/>
      </c>
    </row>
    <row r="265"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N265" s="34">
        <f>IF($A265="",NA(),IF(C265&gt;0,D265/C265,0))</f>
        <v/>
      </c>
      <c r="O265" s="34">
        <f>IF($A265="",NA(),IF(E265&gt;0,F265/E265,0))</f>
        <v/>
      </c>
      <c r="P265" s="34">
        <f>IF($A265="",NA(),IF(K265+L265&gt;0,K265/(K265+L265),0.5))</f>
        <v/>
      </c>
      <c r="Q265" s="34">
        <f>IF($A265="",NA(),1-P265)</f>
        <v/>
      </c>
      <c r="R265" s="33">
        <f>IF($A265="",NA(),MAX(0,E265-F265)*IF(G265&gt;0,H265/G265,COMPAREC_PAD)*IF(I265&gt;0,J265/I265,VALIDOS_PAD))</f>
        <v/>
      </c>
      <c r="S265" s="34">
        <f>IF($A265="",NA(),IF(R265&gt;0,0.5-(K265-L265)/(2*R265),0))</f>
        <v/>
      </c>
      <c r="T265" s="34">
        <f>IF($A265="",NA(),IF(R265&lt;=0,IF(K265&gt;L265,1,IF(K265&lt;L265,0,0.5)),1-NORMDIST(S265,P265+AJUSTE,SIGMA,TRUE)))</f>
        <v/>
      </c>
      <c r="U265" s="34">
        <f>IF($A265="",NA(),1-T265)</f>
        <v/>
      </c>
    </row>
    <row r="266"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N266" s="34">
        <f>IF($A266="",NA(),IF(C266&gt;0,D266/C266,0))</f>
        <v/>
      </c>
      <c r="O266" s="34">
        <f>IF($A266="",NA(),IF(E266&gt;0,F266/E266,0))</f>
        <v/>
      </c>
      <c r="P266" s="34">
        <f>IF($A266="",NA(),IF(K266+L266&gt;0,K266/(K266+L266),0.5))</f>
        <v/>
      </c>
      <c r="Q266" s="34">
        <f>IF($A266="",NA(),1-P266)</f>
        <v/>
      </c>
      <c r="R266" s="33">
        <f>IF($A266="",NA(),MAX(0,E266-F266)*IF(G266&gt;0,H266/G266,COMPAREC_PAD)*IF(I266&gt;0,J266/I266,VALIDOS_PAD))</f>
        <v/>
      </c>
      <c r="S266" s="34">
        <f>IF($A266="",NA(),IF(R266&gt;0,0.5-(K266-L266)/(2*R266),0))</f>
        <v/>
      </c>
      <c r="T266" s="34">
        <f>IF($A266="",NA(),IF(R266&lt;=0,IF(K266&gt;L266,1,IF(K266&lt;L266,0,0.5)),1-NORMDIST(S266,P266+AJUSTE,SIGMA,TRUE)))</f>
        <v/>
      </c>
      <c r="U266" s="34">
        <f>IF($A266="",NA(),1-T266)</f>
        <v/>
      </c>
    </row>
    <row r="267"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3" t="n"/>
      <c r="N267" s="34">
        <f>IF($A267="",NA(),IF(C267&gt;0,D267/C267,0))</f>
        <v/>
      </c>
      <c r="O267" s="34">
        <f>IF($A267="",NA(),IF(E267&gt;0,F267/E267,0))</f>
        <v/>
      </c>
      <c r="P267" s="34">
        <f>IF($A267="",NA(),IF(K267+L267&gt;0,K267/(K267+L267),0.5))</f>
        <v/>
      </c>
      <c r="Q267" s="34">
        <f>IF($A267="",NA(),1-P267)</f>
        <v/>
      </c>
      <c r="R267" s="33">
        <f>IF($A267="",NA(),MAX(0,E267-F267)*IF(G267&gt;0,H267/G267,COMPAREC_PAD)*IF(I267&gt;0,J267/I267,VALIDOS_PAD))</f>
        <v/>
      </c>
      <c r="S267" s="34">
        <f>IF($A267="",NA(),IF(R267&gt;0,0.5-(K267-L267)/(2*R267),0))</f>
        <v/>
      </c>
      <c r="T267" s="34">
        <f>IF($A267="",NA(),IF(R267&lt;=0,IF(K267&gt;L267,1,IF(K267&lt;L267,0,0.5)),1-NORMDIST(S267,P267+AJUSTE,SIGMA,TRUE)))</f>
        <v/>
      </c>
      <c r="U267" s="34">
        <f>IF($A267="",NA(),1-T267)</f>
        <v/>
      </c>
    </row>
    <row r="268"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N268" s="34">
        <f>IF($A268="",NA(),IF(C268&gt;0,D268/C268,0))</f>
        <v/>
      </c>
      <c r="O268" s="34">
        <f>IF($A268="",NA(),IF(E268&gt;0,F268/E268,0))</f>
        <v/>
      </c>
      <c r="P268" s="34">
        <f>IF($A268="",NA(),IF(K268+L268&gt;0,K268/(K268+L268),0.5))</f>
        <v/>
      </c>
      <c r="Q268" s="34">
        <f>IF($A268="",NA(),1-P268)</f>
        <v/>
      </c>
      <c r="R268" s="33">
        <f>IF($A268="",NA(),MAX(0,E268-F268)*IF(G268&gt;0,H268/G268,COMPAREC_PAD)*IF(I268&gt;0,J268/I268,VALIDOS_PAD))</f>
        <v/>
      </c>
      <c r="S268" s="34">
        <f>IF($A268="",NA(),IF(R268&gt;0,0.5-(K268-L268)/(2*R268),0))</f>
        <v/>
      </c>
      <c r="T268" s="34">
        <f>IF($A268="",NA(),IF(R268&lt;=0,IF(K268&gt;L268,1,IF(K268&lt;L268,0,0.5)),1-NORMDIST(S268,P268+AJUSTE,SIGMA,TRUE)))</f>
        <v/>
      </c>
      <c r="U268" s="34">
        <f>IF($A268="",NA(),1-T268)</f>
        <v/>
      </c>
    </row>
    <row r="269"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N269" s="34">
        <f>IF($A269="",NA(),IF(C269&gt;0,D269/C269,0))</f>
        <v/>
      </c>
      <c r="O269" s="34">
        <f>IF($A269="",NA(),IF(E269&gt;0,F269/E269,0))</f>
        <v/>
      </c>
      <c r="P269" s="34">
        <f>IF($A269="",NA(),IF(K269+L269&gt;0,K269/(K269+L269),0.5))</f>
        <v/>
      </c>
      <c r="Q269" s="34">
        <f>IF($A269="",NA(),1-P269)</f>
        <v/>
      </c>
      <c r="R269" s="33">
        <f>IF($A269="",NA(),MAX(0,E269-F269)*IF(G269&gt;0,H269/G269,COMPAREC_PAD)*IF(I269&gt;0,J269/I269,VALIDOS_PAD))</f>
        <v/>
      </c>
      <c r="S269" s="34">
        <f>IF($A269="",NA(),IF(R269&gt;0,0.5-(K269-L269)/(2*R269),0))</f>
        <v/>
      </c>
      <c r="T269" s="34">
        <f>IF($A269="",NA(),IF(R269&lt;=0,IF(K269&gt;L269,1,IF(K269&lt;L269,0,0.5)),1-NORMDIST(S269,P269+AJUSTE,SIGMA,TRUE)))</f>
        <v/>
      </c>
      <c r="U269" s="34">
        <f>IF($A269="",NA(),1-T269)</f>
        <v/>
      </c>
    </row>
    <row r="270"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N270" s="34">
        <f>IF($A270="",NA(),IF(C270&gt;0,D270/C270,0))</f>
        <v/>
      </c>
      <c r="O270" s="34">
        <f>IF($A270="",NA(),IF(E270&gt;0,F270/E270,0))</f>
        <v/>
      </c>
      <c r="P270" s="34">
        <f>IF($A270="",NA(),IF(K270+L270&gt;0,K270/(K270+L270),0.5))</f>
        <v/>
      </c>
      <c r="Q270" s="34">
        <f>IF($A270="",NA(),1-P270)</f>
        <v/>
      </c>
      <c r="R270" s="33">
        <f>IF($A270="",NA(),MAX(0,E270-F270)*IF(G270&gt;0,H270/G270,COMPAREC_PAD)*IF(I270&gt;0,J270/I270,VALIDOS_PAD))</f>
        <v/>
      </c>
      <c r="S270" s="34">
        <f>IF($A270="",NA(),IF(R270&gt;0,0.5-(K270-L270)/(2*R270),0))</f>
        <v/>
      </c>
      <c r="T270" s="34">
        <f>IF($A270="",NA(),IF(R270&lt;=0,IF(K270&gt;L270,1,IF(K270&lt;L270,0,0.5)),1-NORMDIST(S270,P270+AJUSTE,SIGMA,TRUE)))</f>
        <v/>
      </c>
      <c r="U270" s="34">
        <f>IF($A270="",NA(),1-T270)</f>
        <v/>
      </c>
    </row>
    <row r="271"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3" t="n"/>
      <c r="N271" s="34">
        <f>IF($A271="",NA(),IF(C271&gt;0,D271/C271,0))</f>
        <v/>
      </c>
      <c r="O271" s="34">
        <f>IF($A271="",NA(),IF(E271&gt;0,F271/E271,0))</f>
        <v/>
      </c>
      <c r="P271" s="34">
        <f>IF($A271="",NA(),IF(K271+L271&gt;0,K271/(K271+L271),0.5))</f>
        <v/>
      </c>
      <c r="Q271" s="34">
        <f>IF($A271="",NA(),1-P271)</f>
        <v/>
      </c>
      <c r="R271" s="33">
        <f>IF($A271="",NA(),MAX(0,E271-F271)*IF(G271&gt;0,H271/G271,COMPAREC_PAD)*IF(I271&gt;0,J271/I271,VALIDOS_PAD))</f>
        <v/>
      </c>
      <c r="S271" s="34">
        <f>IF($A271="",NA(),IF(R271&gt;0,0.5-(K271-L271)/(2*R271),0))</f>
        <v/>
      </c>
      <c r="T271" s="34">
        <f>IF($A271="",NA(),IF(R271&lt;=0,IF(K271&gt;L271,1,IF(K271&lt;L271,0,0.5)),1-NORMDIST(S271,P271+AJUSTE,SIGMA,TRUE)))</f>
        <v/>
      </c>
      <c r="U271" s="34">
        <f>IF($A271="",NA(),1-T271)</f>
        <v/>
      </c>
    </row>
    <row r="272"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  <c r="N272" s="34">
        <f>IF($A272="",NA(),IF(C272&gt;0,D272/C272,0))</f>
        <v/>
      </c>
      <c r="O272" s="34">
        <f>IF($A272="",NA(),IF(E272&gt;0,F272/E272,0))</f>
        <v/>
      </c>
      <c r="P272" s="34">
        <f>IF($A272="",NA(),IF(K272+L272&gt;0,K272/(K272+L272),0.5))</f>
        <v/>
      </c>
      <c r="Q272" s="34">
        <f>IF($A272="",NA(),1-P272)</f>
        <v/>
      </c>
      <c r="R272" s="33">
        <f>IF($A272="",NA(),MAX(0,E272-F272)*IF(G272&gt;0,H272/G272,COMPAREC_PAD)*IF(I272&gt;0,J272/I272,VALIDOS_PAD))</f>
        <v/>
      </c>
      <c r="S272" s="34">
        <f>IF($A272="",NA(),IF(R272&gt;0,0.5-(K272-L272)/(2*R272),0))</f>
        <v/>
      </c>
      <c r="T272" s="34">
        <f>IF($A272="",NA(),IF(R272&lt;=0,IF(K272&gt;L272,1,IF(K272&lt;L272,0,0.5)),1-NORMDIST(S272,P272+AJUSTE,SIGMA,TRUE)))</f>
        <v/>
      </c>
      <c r="U272" s="34">
        <f>IF($A272="",NA(),1-T272)</f>
        <v/>
      </c>
    </row>
    <row r="273"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N273" s="34">
        <f>IF($A273="",NA(),IF(C273&gt;0,D273/C273,0))</f>
        <v/>
      </c>
      <c r="O273" s="34">
        <f>IF($A273="",NA(),IF(E273&gt;0,F273/E273,0))</f>
        <v/>
      </c>
      <c r="P273" s="34">
        <f>IF($A273="",NA(),IF(K273+L273&gt;0,K273/(K273+L273),0.5))</f>
        <v/>
      </c>
      <c r="Q273" s="34">
        <f>IF($A273="",NA(),1-P273)</f>
        <v/>
      </c>
      <c r="R273" s="33">
        <f>IF($A273="",NA(),MAX(0,E273-F273)*IF(G273&gt;0,H273/G273,COMPAREC_PAD)*IF(I273&gt;0,J273/I273,VALIDOS_PAD))</f>
        <v/>
      </c>
      <c r="S273" s="34">
        <f>IF($A273="",NA(),IF(R273&gt;0,0.5-(K273-L273)/(2*R273),0))</f>
        <v/>
      </c>
      <c r="T273" s="34">
        <f>IF($A273="",NA(),IF(R273&lt;=0,IF(K273&gt;L273,1,IF(K273&lt;L273,0,0.5)),1-NORMDIST(S273,P273+AJUSTE,SIGMA,TRUE)))</f>
        <v/>
      </c>
      <c r="U273" s="34">
        <f>IF($A273="",NA(),1-T273)</f>
        <v/>
      </c>
    </row>
    <row r="274">
      <c r="C274" s="33" t="n"/>
      <c r="D274" s="33" t="n"/>
      <c r="E274" s="33" t="n"/>
      <c r="F274" s="33" t="n"/>
      <c r="G274" s="33" t="n"/>
      <c r="H274" s="33" t="n"/>
      <c r="I274" s="33" t="n"/>
      <c r="J274" s="33" t="n"/>
      <c r="K274" s="33" t="n"/>
      <c r="L274" s="33" t="n"/>
      <c r="N274" s="34">
        <f>IF($A274="",NA(),IF(C274&gt;0,D274/C274,0))</f>
        <v/>
      </c>
      <c r="O274" s="34">
        <f>IF($A274="",NA(),IF(E274&gt;0,F274/E274,0))</f>
        <v/>
      </c>
      <c r="P274" s="34">
        <f>IF($A274="",NA(),IF(K274+L274&gt;0,K274/(K274+L274),0.5))</f>
        <v/>
      </c>
      <c r="Q274" s="34">
        <f>IF($A274="",NA(),1-P274)</f>
        <v/>
      </c>
      <c r="R274" s="33">
        <f>IF($A274="",NA(),MAX(0,E274-F274)*IF(G274&gt;0,H274/G274,COMPAREC_PAD)*IF(I274&gt;0,J274/I274,VALIDOS_PAD))</f>
        <v/>
      </c>
      <c r="S274" s="34">
        <f>IF($A274="",NA(),IF(R274&gt;0,0.5-(K274-L274)/(2*R274),0))</f>
        <v/>
      </c>
      <c r="T274" s="34">
        <f>IF($A274="",NA(),IF(R274&lt;=0,IF(K274&gt;L274,1,IF(K274&lt;L274,0,0.5)),1-NORMDIST(S274,P274+AJUSTE,SIGMA,TRUE)))</f>
        <v/>
      </c>
      <c r="U274" s="34">
        <f>IF($A274="",NA(),1-T274)</f>
        <v/>
      </c>
    </row>
    <row r="275">
      <c r="C275" s="33" t="n"/>
      <c r="D275" s="33" t="n"/>
      <c r="E275" s="33" t="n"/>
      <c r="F275" s="33" t="n"/>
      <c r="G275" s="33" t="n"/>
      <c r="H275" s="33" t="n"/>
      <c r="I275" s="33" t="n"/>
      <c r="J275" s="33" t="n"/>
      <c r="K275" s="33" t="n"/>
      <c r="L275" s="33" t="n"/>
      <c r="N275" s="34">
        <f>IF($A275="",NA(),IF(C275&gt;0,D275/C275,0))</f>
        <v/>
      </c>
      <c r="O275" s="34">
        <f>IF($A275="",NA(),IF(E275&gt;0,F275/E275,0))</f>
        <v/>
      </c>
      <c r="P275" s="34">
        <f>IF($A275="",NA(),IF(K275+L275&gt;0,K275/(K275+L275),0.5))</f>
        <v/>
      </c>
      <c r="Q275" s="34">
        <f>IF($A275="",NA(),1-P275)</f>
        <v/>
      </c>
      <c r="R275" s="33">
        <f>IF($A275="",NA(),MAX(0,E275-F275)*IF(G275&gt;0,H275/G275,COMPAREC_PAD)*IF(I275&gt;0,J275/I275,VALIDOS_PAD))</f>
        <v/>
      </c>
      <c r="S275" s="34">
        <f>IF($A275="",NA(),IF(R275&gt;0,0.5-(K275-L275)/(2*R275),0))</f>
        <v/>
      </c>
      <c r="T275" s="34">
        <f>IF($A275="",NA(),IF(R275&lt;=0,IF(K275&gt;L275,1,IF(K275&lt;L275,0,0.5)),1-NORMDIST(S275,P275+AJUSTE,SIGMA,TRUE)))</f>
        <v/>
      </c>
      <c r="U275" s="34">
        <f>IF($A275="",NA(),1-T275)</f>
        <v/>
      </c>
    </row>
    <row r="276">
      <c r="C276" s="33" t="n"/>
      <c r="D276" s="33" t="n"/>
      <c r="E276" s="33" t="n"/>
      <c r="F276" s="33" t="n"/>
      <c r="G276" s="33" t="n"/>
      <c r="H276" s="33" t="n"/>
      <c r="I276" s="33" t="n"/>
      <c r="J276" s="33" t="n"/>
      <c r="K276" s="33" t="n"/>
      <c r="L276" s="33" t="n"/>
      <c r="N276" s="34">
        <f>IF($A276="",NA(),IF(C276&gt;0,D276/C276,0))</f>
        <v/>
      </c>
      <c r="O276" s="34">
        <f>IF($A276="",NA(),IF(E276&gt;0,F276/E276,0))</f>
        <v/>
      </c>
      <c r="P276" s="34">
        <f>IF($A276="",NA(),IF(K276+L276&gt;0,K276/(K276+L276),0.5))</f>
        <v/>
      </c>
      <c r="Q276" s="34">
        <f>IF($A276="",NA(),1-P276)</f>
        <v/>
      </c>
      <c r="R276" s="33">
        <f>IF($A276="",NA(),MAX(0,E276-F276)*IF(G276&gt;0,H276/G276,COMPAREC_PAD)*IF(I276&gt;0,J276/I276,VALIDOS_PAD))</f>
        <v/>
      </c>
      <c r="S276" s="34">
        <f>IF($A276="",NA(),IF(R276&gt;0,0.5-(K276-L276)/(2*R276),0))</f>
        <v/>
      </c>
      <c r="T276" s="34">
        <f>IF($A276="",NA(),IF(R276&lt;=0,IF(K276&gt;L276,1,IF(K276&lt;L276,0,0.5)),1-NORMDIST(S276,P276+AJUSTE,SIGMA,TRUE)))</f>
        <v/>
      </c>
      <c r="U276" s="34">
        <f>IF($A276="",NA(),1-T276)</f>
        <v/>
      </c>
    </row>
    <row r="277"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3" t="n"/>
      <c r="N277" s="34">
        <f>IF($A277="",NA(),IF(C277&gt;0,D277/C277,0))</f>
        <v/>
      </c>
      <c r="O277" s="34">
        <f>IF($A277="",NA(),IF(E277&gt;0,F277/E277,0))</f>
        <v/>
      </c>
      <c r="P277" s="34">
        <f>IF($A277="",NA(),IF(K277+L277&gt;0,K277/(K277+L277),0.5))</f>
        <v/>
      </c>
      <c r="Q277" s="34">
        <f>IF($A277="",NA(),1-P277)</f>
        <v/>
      </c>
      <c r="R277" s="33">
        <f>IF($A277="",NA(),MAX(0,E277-F277)*IF(G277&gt;0,H277/G277,COMPAREC_PAD)*IF(I277&gt;0,J277/I277,VALIDOS_PAD))</f>
        <v/>
      </c>
      <c r="S277" s="34">
        <f>IF($A277="",NA(),IF(R277&gt;0,0.5-(K277-L277)/(2*R277),0))</f>
        <v/>
      </c>
      <c r="T277" s="34">
        <f>IF($A277="",NA(),IF(R277&lt;=0,IF(K277&gt;L277,1,IF(K277&lt;L277,0,0.5)),1-NORMDIST(S277,P277+AJUSTE,SIGMA,TRUE)))</f>
        <v/>
      </c>
      <c r="U277" s="34">
        <f>IF($A277="",NA(),1-T277)</f>
        <v/>
      </c>
    </row>
    <row r="278"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N278" s="34">
        <f>IF($A278="",NA(),IF(C278&gt;0,D278/C278,0))</f>
        <v/>
      </c>
      <c r="O278" s="34">
        <f>IF($A278="",NA(),IF(E278&gt;0,F278/E278,0))</f>
        <v/>
      </c>
      <c r="P278" s="34">
        <f>IF($A278="",NA(),IF(K278+L278&gt;0,K278/(K278+L278),0.5))</f>
        <v/>
      </c>
      <c r="Q278" s="34">
        <f>IF($A278="",NA(),1-P278)</f>
        <v/>
      </c>
      <c r="R278" s="33">
        <f>IF($A278="",NA(),MAX(0,E278-F278)*IF(G278&gt;0,H278/G278,COMPAREC_PAD)*IF(I278&gt;0,J278/I278,VALIDOS_PAD))</f>
        <v/>
      </c>
      <c r="S278" s="34">
        <f>IF($A278="",NA(),IF(R278&gt;0,0.5-(K278-L278)/(2*R278),0))</f>
        <v/>
      </c>
      <c r="T278" s="34">
        <f>IF($A278="",NA(),IF(R278&lt;=0,IF(K278&gt;L278,1,IF(K278&lt;L278,0,0.5)),1-NORMDIST(S278,P278+AJUSTE,SIGMA,TRUE)))</f>
        <v/>
      </c>
      <c r="U278" s="34">
        <f>IF($A278="",NA(),1-T278)</f>
        <v/>
      </c>
    </row>
    <row r="279"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N279" s="34">
        <f>IF($A279="",NA(),IF(C279&gt;0,D279/C279,0))</f>
        <v/>
      </c>
      <c r="O279" s="34">
        <f>IF($A279="",NA(),IF(E279&gt;0,F279/E279,0))</f>
        <v/>
      </c>
      <c r="P279" s="34">
        <f>IF($A279="",NA(),IF(K279+L279&gt;0,K279/(K279+L279),0.5))</f>
        <v/>
      </c>
      <c r="Q279" s="34">
        <f>IF($A279="",NA(),1-P279)</f>
        <v/>
      </c>
      <c r="R279" s="33">
        <f>IF($A279="",NA(),MAX(0,E279-F279)*IF(G279&gt;0,H279/G279,COMPAREC_PAD)*IF(I279&gt;0,J279/I279,VALIDOS_PAD))</f>
        <v/>
      </c>
      <c r="S279" s="34">
        <f>IF($A279="",NA(),IF(R279&gt;0,0.5-(K279-L279)/(2*R279),0))</f>
        <v/>
      </c>
      <c r="T279" s="34">
        <f>IF($A279="",NA(),IF(R279&lt;=0,IF(K279&gt;L279,1,IF(K279&lt;L279,0,0.5)),1-NORMDIST(S279,P279+AJUSTE,SIGMA,TRUE)))</f>
        <v/>
      </c>
      <c r="U279" s="34">
        <f>IF($A279="",NA(),1-T279)</f>
        <v/>
      </c>
    </row>
    <row r="280"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N280" s="34">
        <f>IF($A280="",NA(),IF(C280&gt;0,D280/C280,0))</f>
        <v/>
      </c>
      <c r="O280" s="34">
        <f>IF($A280="",NA(),IF(E280&gt;0,F280/E280,0))</f>
        <v/>
      </c>
      <c r="P280" s="34">
        <f>IF($A280="",NA(),IF(K280+L280&gt;0,K280/(K280+L280),0.5))</f>
        <v/>
      </c>
      <c r="Q280" s="34">
        <f>IF($A280="",NA(),1-P280)</f>
        <v/>
      </c>
      <c r="R280" s="33">
        <f>IF($A280="",NA(),MAX(0,E280-F280)*IF(G280&gt;0,H280/G280,COMPAREC_PAD)*IF(I280&gt;0,J280/I280,VALIDOS_PAD))</f>
        <v/>
      </c>
      <c r="S280" s="34">
        <f>IF($A280="",NA(),IF(R280&gt;0,0.5-(K280-L280)/(2*R280),0))</f>
        <v/>
      </c>
      <c r="T280" s="34">
        <f>IF($A280="",NA(),IF(R280&lt;=0,IF(K280&gt;L280,1,IF(K280&lt;L280,0,0.5)),1-NORMDIST(S280,P280+AJUSTE,SIGMA,TRUE)))</f>
        <v/>
      </c>
      <c r="U280" s="34">
        <f>IF($A280="",NA(),1-T280)</f>
        <v/>
      </c>
    </row>
    <row r="281"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3" t="n"/>
      <c r="N281" s="34">
        <f>IF($A281="",NA(),IF(C281&gt;0,D281/C281,0))</f>
        <v/>
      </c>
      <c r="O281" s="34">
        <f>IF($A281="",NA(),IF(E281&gt;0,F281/E281,0))</f>
        <v/>
      </c>
      <c r="P281" s="34">
        <f>IF($A281="",NA(),IF(K281+L281&gt;0,K281/(K281+L281),0.5))</f>
        <v/>
      </c>
      <c r="Q281" s="34">
        <f>IF($A281="",NA(),1-P281)</f>
        <v/>
      </c>
      <c r="R281" s="33">
        <f>IF($A281="",NA(),MAX(0,E281-F281)*IF(G281&gt;0,H281/G281,COMPAREC_PAD)*IF(I281&gt;0,J281/I281,VALIDOS_PAD))</f>
        <v/>
      </c>
      <c r="S281" s="34">
        <f>IF($A281="",NA(),IF(R281&gt;0,0.5-(K281-L281)/(2*R281),0))</f>
        <v/>
      </c>
      <c r="T281" s="34">
        <f>IF($A281="",NA(),IF(R281&lt;=0,IF(K281&gt;L281,1,IF(K281&lt;L281,0,0.5)),1-NORMDIST(S281,P281+AJUSTE,SIGMA,TRUE)))</f>
        <v/>
      </c>
      <c r="U281" s="34">
        <f>IF($A281="",NA(),1-T281)</f>
        <v/>
      </c>
    </row>
    <row r="282">
      <c r="C282" s="33" t="n"/>
      <c r="D282" s="33" t="n"/>
      <c r="E282" s="33" t="n"/>
      <c r="F282" s="33" t="n"/>
      <c r="G282" s="33" t="n"/>
      <c r="H282" s="33" t="n"/>
      <c r="I282" s="33" t="n"/>
      <c r="J282" s="33" t="n"/>
      <c r="K282" s="33" t="n"/>
      <c r="L282" s="33" t="n"/>
      <c r="N282" s="34">
        <f>IF($A282="",NA(),IF(C282&gt;0,D282/C282,0))</f>
        <v/>
      </c>
      <c r="O282" s="34">
        <f>IF($A282="",NA(),IF(E282&gt;0,F282/E282,0))</f>
        <v/>
      </c>
      <c r="P282" s="34">
        <f>IF($A282="",NA(),IF(K282+L282&gt;0,K282/(K282+L282),0.5))</f>
        <v/>
      </c>
      <c r="Q282" s="34">
        <f>IF($A282="",NA(),1-P282)</f>
        <v/>
      </c>
      <c r="R282" s="33">
        <f>IF($A282="",NA(),MAX(0,E282-F282)*IF(G282&gt;0,H282/G282,COMPAREC_PAD)*IF(I282&gt;0,J282/I282,VALIDOS_PAD))</f>
        <v/>
      </c>
      <c r="S282" s="34">
        <f>IF($A282="",NA(),IF(R282&gt;0,0.5-(K282-L282)/(2*R282),0))</f>
        <v/>
      </c>
      <c r="T282" s="34">
        <f>IF($A282="",NA(),IF(R282&lt;=0,IF(K282&gt;L282,1,IF(K282&lt;L282,0,0.5)),1-NORMDIST(S282,P282+AJUSTE,SIGMA,TRUE)))</f>
        <v/>
      </c>
      <c r="U282" s="34">
        <f>IF($A282="",NA(),1-T282)</f>
        <v/>
      </c>
    </row>
    <row r="283">
      <c r="C283" s="33" t="n"/>
      <c r="D283" s="33" t="n"/>
      <c r="E283" s="33" t="n"/>
      <c r="F283" s="33" t="n"/>
      <c r="G283" s="33" t="n"/>
      <c r="H283" s="33" t="n"/>
      <c r="I283" s="33" t="n"/>
      <c r="J283" s="33" t="n"/>
      <c r="K283" s="33" t="n"/>
      <c r="L283" s="33" t="n"/>
      <c r="N283" s="34">
        <f>IF($A283="",NA(),IF(C283&gt;0,D283/C283,0))</f>
        <v/>
      </c>
      <c r="O283" s="34">
        <f>IF($A283="",NA(),IF(E283&gt;0,F283/E283,0))</f>
        <v/>
      </c>
      <c r="P283" s="34">
        <f>IF($A283="",NA(),IF(K283+L283&gt;0,K283/(K283+L283),0.5))</f>
        <v/>
      </c>
      <c r="Q283" s="34">
        <f>IF($A283="",NA(),1-P283)</f>
        <v/>
      </c>
      <c r="R283" s="33">
        <f>IF($A283="",NA(),MAX(0,E283-F283)*IF(G283&gt;0,H283/G283,COMPAREC_PAD)*IF(I283&gt;0,J283/I283,VALIDOS_PAD))</f>
        <v/>
      </c>
      <c r="S283" s="34">
        <f>IF($A283="",NA(),IF(R283&gt;0,0.5-(K283-L283)/(2*R283),0))</f>
        <v/>
      </c>
      <c r="T283" s="34">
        <f>IF($A283="",NA(),IF(R283&lt;=0,IF(K283&gt;L283,1,IF(K283&lt;L283,0,0.5)),1-NORMDIST(S283,P283+AJUSTE,SIGMA,TRUE)))</f>
        <v/>
      </c>
      <c r="U283" s="34">
        <f>IF($A283="",NA(),1-T283)</f>
        <v/>
      </c>
    </row>
    <row r="284">
      <c r="C284" s="33" t="n"/>
      <c r="D284" s="33" t="n"/>
      <c r="E284" s="33" t="n"/>
      <c r="F284" s="33" t="n"/>
      <c r="G284" s="33" t="n"/>
      <c r="H284" s="33" t="n"/>
      <c r="I284" s="33" t="n"/>
      <c r="J284" s="33" t="n"/>
      <c r="K284" s="33" t="n"/>
      <c r="L284" s="33" t="n"/>
      <c r="N284" s="34">
        <f>IF($A284="",NA(),IF(C284&gt;0,D284/C284,0))</f>
        <v/>
      </c>
      <c r="O284" s="34">
        <f>IF($A284="",NA(),IF(E284&gt;0,F284/E284,0))</f>
        <v/>
      </c>
      <c r="P284" s="34">
        <f>IF($A284="",NA(),IF(K284+L284&gt;0,K284/(K284+L284),0.5))</f>
        <v/>
      </c>
      <c r="Q284" s="34">
        <f>IF($A284="",NA(),1-P284)</f>
        <v/>
      </c>
      <c r="R284" s="33">
        <f>IF($A284="",NA(),MAX(0,E284-F284)*IF(G284&gt;0,H284/G284,COMPAREC_PAD)*IF(I284&gt;0,J284/I284,VALIDOS_PAD))</f>
        <v/>
      </c>
      <c r="S284" s="34">
        <f>IF($A284="",NA(),IF(R284&gt;0,0.5-(K284-L284)/(2*R284),0))</f>
        <v/>
      </c>
      <c r="T284" s="34">
        <f>IF($A284="",NA(),IF(R284&lt;=0,IF(K284&gt;L284,1,IF(K284&lt;L284,0,0.5)),1-NORMDIST(S284,P284+AJUSTE,SIGMA,TRUE)))</f>
        <v/>
      </c>
      <c r="U284" s="34">
        <f>IF($A284="",NA(),1-T284)</f>
        <v/>
      </c>
    </row>
    <row r="285">
      <c r="C285" s="33" t="n"/>
      <c r="D285" s="33" t="n"/>
      <c r="E285" s="33" t="n"/>
      <c r="F285" s="33" t="n"/>
      <c r="G285" s="33" t="n"/>
      <c r="H285" s="33" t="n"/>
      <c r="I285" s="33" t="n"/>
      <c r="J285" s="33" t="n"/>
      <c r="K285" s="33" t="n"/>
      <c r="L285" s="33" t="n"/>
      <c r="N285" s="34">
        <f>IF($A285="",NA(),IF(C285&gt;0,D285/C285,0))</f>
        <v/>
      </c>
      <c r="O285" s="34">
        <f>IF($A285="",NA(),IF(E285&gt;0,F285/E285,0))</f>
        <v/>
      </c>
      <c r="P285" s="34">
        <f>IF($A285="",NA(),IF(K285+L285&gt;0,K285/(K285+L285),0.5))</f>
        <v/>
      </c>
      <c r="Q285" s="34">
        <f>IF($A285="",NA(),1-P285)</f>
        <v/>
      </c>
      <c r="R285" s="33">
        <f>IF($A285="",NA(),MAX(0,E285-F285)*IF(G285&gt;0,H285/G285,COMPAREC_PAD)*IF(I285&gt;0,J285/I285,VALIDOS_PAD))</f>
        <v/>
      </c>
      <c r="S285" s="34">
        <f>IF($A285="",NA(),IF(R285&gt;0,0.5-(K285-L285)/(2*R285),0))</f>
        <v/>
      </c>
      <c r="T285" s="34">
        <f>IF($A285="",NA(),IF(R285&lt;=0,IF(K285&gt;L285,1,IF(K285&lt;L285,0,0.5)),1-NORMDIST(S285,P285+AJUSTE,SIGMA,TRUE)))</f>
        <v/>
      </c>
      <c r="U285" s="34">
        <f>IF($A285="",NA(),1-T285)</f>
        <v/>
      </c>
    </row>
    <row r="286">
      <c r="C286" s="33" t="n"/>
      <c r="D286" s="33" t="n"/>
      <c r="E286" s="33" t="n"/>
      <c r="F286" s="33" t="n"/>
      <c r="G286" s="33" t="n"/>
      <c r="H286" s="33" t="n"/>
      <c r="I286" s="33" t="n"/>
      <c r="J286" s="33" t="n"/>
      <c r="K286" s="33" t="n"/>
      <c r="L286" s="33" t="n"/>
      <c r="N286" s="34">
        <f>IF($A286="",NA(),IF(C286&gt;0,D286/C286,0))</f>
        <v/>
      </c>
      <c r="O286" s="34">
        <f>IF($A286="",NA(),IF(E286&gt;0,F286/E286,0))</f>
        <v/>
      </c>
      <c r="P286" s="34">
        <f>IF($A286="",NA(),IF(K286+L286&gt;0,K286/(K286+L286),0.5))</f>
        <v/>
      </c>
      <c r="Q286" s="34">
        <f>IF($A286="",NA(),1-P286)</f>
        <v/>
      </c>
      <c r="R286" s="33">
        <f>IF($A286="",NA(),MAX(0,E286-F286)*IF(G286&gt;0,H286/G286,COMPAREC_PAD)*IF(I286&gt;0,J286/I286,VALIDOS_PAD))</f>
        <v/>
      </c>
      <c r="S286" s="34">
        <f>IF($A286="",NA(),IF(R286&gt;0,0.5-(K286-L286)/(2*R286),0))</f>
        <v/>
      </c>
      <c r="T286" s="34">
        <f>IF($A286="",NA(),IF(R286&lt;=0,IF(K286&gt;L286,1,IF(K286&lt;L286,0,0.5)),1-NORMDIST(S286,P286+AJUSTE,SIGMA,TRUE)))</f>
        <v/>
      </c>
      <c r="U286" s="34">
        <f>IF($A286="",NA(),1-T286)</f>
        <v/>
      </c>
    </row>
    <row r="287"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3" t="n"/>
      <c r="N287" s="34">
        <f>IF($A287="",NA(),IF(C287&gt;0,D287/C287,0))</f>
        <v/>
      </c>
      <c r="O287" s="34">
        <f>IF($A287="",NA(),IF(E287&gt;0,F287/E287,0))</f>
        <v/>
      </c>
      <c r="P287" s="34">
        <f>IF($A287="",NA(),IF(K287+L287&gt;0,K287/(K287+L287),0.5))</f>
        <v/>
      </c>
      <c r="Q287" s="34">
        <f>IF($A287="",NA(),1-P287)</f>
        <v/>
      </c>
      <c r="R287" s="33">
        <f>IF($A287="",NA(),MAX(0,E287-F287)*IF(G287&gt;0,H287/G287,COMPAREC_PAD)*IF(I287&gt;0,J287/I287,VALIDOS_PAD))</f>
        <v/>
      </c>
      <c r="S287" s="34">
        <f>IF($A287="",NA(),IF(R287&gt;0,0.5-(K287-L287)/(2*R287),0))</f>
        <v/>
      </c>
      <c r="T287" s="34">
        <f>IF($A287="",NA(),IF(R287&lt;=0,IF(K287&gt;L287,1,IF(K287&lt;L287,0,0.5)),1-NORMDIST(S287,P287+AJUSTE,SIGMA,TRUE)))</f>
        <v/>
      </c>
      <c r="U287" s="34">
        <f>IF($A287="",NA(),1-T287)</f>
        <v/>
      </c>
    </row>
    <row r="288"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N288" s="34">
        <f>IF($A288="",NA(),IF(C288&gt;0,D288/C288,0))</f>
        <v/>
      </c>
      <c r="O288" s="34">
        <f>IF($A288="",NA(),IF(E288&gt;0,F288/E288,0))</f>
        <v/>
      </c>
      <c r="P288" s="34">
        <f>IF($A288="",NA(),IF(K288+L288&gt;0,K288/(K288+L288),0.5))</f>
        <v/>
      </c>
      <c r="Q288" s="34">
        <f>IF($A288="",NA(),1-P288)</f>
        <v/>
      </c>
      <c r="R288" s="33">
        <f>IF($A288="",NA(),MAX(0,E288-F288)*IF(G288&gt;0,H288/G288,COMPAREC_PAD)*IF(I288&gt;0,J288/I288,VALIDOS_PAD))</f>
        <v/>
      </c>
      <c r="S288" s="34">
        <f>IF($A288="",NA(),IF(R288&gt;0,0.5-(K288-L288)/(2*R288),0))</f>
        <v/>
      </c>
      <c r="T288" s="34">
        <f>IF($A288="",NA(),IF(R288&lt;=0,IF(K288&gt;L288,1,IF(K288&lt;L288,0,0.5)),1-NORMDIST(S288,P288+AJUSTE,SIGMA,TRUE)))</f>
        <v/>
      </c>
      <c r="U288" s="34">
        <f>IF($A288="",NA(),1-T288)</f>
        <v/>
      </c>
    </row>
    <row r="289"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N289" s="34">
        <f>IF($A289="",NA(),IF(C289&gt;0,D289/C289,0))</f>
        <v/>
      </c>
      <c r="O289" s="34">
        <f>IF($A289="",NA(),IF(E289&gt;0,F289/E289,0))</f>
        <v/>
      </c>
      <c r="P289" s="34">
        <f>IF($A289="",NA(),IF(K289+L289&gt;0,K289/(K289+L289),0.5))</f>
        <v/>
      </c>
      <c r="Q289" s="34">
        <f>IF($A289="",NA(),1-P289)</f>
        <v/>
      </c>
      <c r="R289" s="33">
        <f>IF($A289="",NA(),MAX(0,E289-F289)*IF(G289&gt;0,H289/G289,COMPAREC_PAD)*IF(I289&gt;0,J289/I289,VALIDOS_PAD))</f>
        <v/>
      </c>
      <c r="S289" s="34">
        <f>IF($A289="",NA(),IF(R289&gt;0,0.5-(K289-L289)/(2*R289),0))</f>
        <v/>
      </c>
      <c r="T289" s="34">
        <f>IF($A289="",NA(),IF(R289&lt;=0,IF(K289&gt;L289,1,IF(K289&lt;L289,0,0.5)),1-NORMDIST(S289,P289+AJUSTE,SIGMA,TRUE)))</f>
        <v/>
      </c>
      <c r="U289" s="34">
        <f>IF($A289="",NA(),1-T289)</f>
        <v/>
      </c>
    </row>
    <row r="290"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N290" s="34">
        <f>IF($A290="",NA(),IF(C290&gt;0,D290/C290,0))</f>
        <v/>
      </c>
      <c r="O290" s="34">
        <f>IF($A290="",NA(),IF(E290&gt;0,F290/E290,0))</f>
        <v/>
      </c>
      <c r="P290" s="34">
        <f>IF($A290="",NA(),IF(K290+L290&gt;0,K290/(K290+L290),0.5))</f>
        <v/>
      </c>
      <c r="Q290" s="34">
        <f>IF($A290="",NA(),1-P290)</f>
        <v/>
      </c>
      <c r="R290" s="33">
        <f>IF($A290="",NA(),MAX(0,E290-F290)*IF(G290&gt;0,H290/G290,COMPAREC_PAD)*IF(I290&gt;0,J290/I290,VALIDOS_PAD))</f>
        <v/>
      </c>
      <c r="S290" s="34">
        <f>IF($A290="",NA(),IF(R290&gt;0,0.5-(K290-L290)/(2*R290),0))</f>
        <v/>
      </c>
      <c r="T290" s="34">
        <f>IF($A290="",NA(),IF(R290&lt;=0,IF(K290&gt;L290,1,IF(K290&lt;L290,0,0.5)),1-NORMDIST(S290,P290+AJUSTE,SIGMA,TRUE)))</f>
        <v/>
      </c>
      <c r="U290" s="34">
        <f>IF($A290="",NA(),1-T290)</f>
        <v/>
      </c>
    </row>
    <row r="291">
      <c r="C291" s="33" t="n"/>
      <c r="D291" s="33" t="n"/>
      <c r="E291" s="33" t="n"/>
      <c r="F291" s="33" t="n"/>
      <c r="G291" s="33" t="n"/>
      <c r="H291" s="33" t="n"/>
      <c r="I291" s="33" t="n"/>
      <c r="J291" s="33" t="n"/>
      <c r="K291" s="33" t="n"/>
      <c r="L291" s="33" t="n"/>
      <c r="N291" s="34">
        <f>IF($A291="",NA(),IF(C291&gt;0,D291/C291,0))</f>
        <v/>
      </c>
      <c r="O291" s="34">
        <f>IF($A291="",NA(),IF(E291&gt;0,F291/E291,0))</f>
        <v/>
      </c>
      <c r="P291" s="34">
        <f>IF($A291="",NA(),IF(K291+L291&gt;0,K291/(K291+L291),0.5))</f>
        <v/>
      </c>
      <c r="Q291" s="34">
        <f>IF($A291="",NA(),1-P291)</f>
        <v/>
      </c>
      <c r="R291" s="33">
        <f>IF($A291="",NA(),MAX(0,E291-F291)*IF(G291&gt;0,H291/G291,COMPAREC_PAD)*IF(I291&gt;0,J291/I291,VALIDOS_PAD))</f>
        <v/>
      </c>
      <c r="S291" s="34">
        <f>IF($A291="",NA(),IF(R291&gt;0,0.5-(K291-L291)/(2*R291),0))</f>
        <v/>
      </c>
      <c r="T291" s="34">
        <f>IF($A291="",NA(),IF(R291&lt;=0,IF(K291&gt;L291,1,IF(K291&lt;L291,0,0.5)),1-NORMDIST(S291,P291+AJUSTE,SIGMA,TRUE)))</f>
        <v/>
      </c>
      <c r="U291" s="34">
        <f>IF($A291="",NA(),1-T291)</f>
        <v/>
      </c>
    </row>
    <row r="292">
      <c r="C292" s="33" t="n"/>
      <c r="D292" s="33" t="n"/>
      <c r="E292" s="33" t="n"/>
      <c r="F292" s="33" t="n"/>
      <c r="G292" s="33" t="n"/>
      <c r="H292" s="33" t="n"/>
      <c r="I292" s="33" t="n"/>
      <c r="J292" s="33" t="n"/>
      <c r="K292" s="33" t="n"/>
      <c r="L292" s="33" t="n"/>
      <c r="N292" s="34">
        <f>IF($A292="",NA(),IF(C292&gt;0,D292/C292,0))</f>
        <v/>
      </c>
      <c r="O292" s="34">
        <f>IF($A292="",NA(),IF(E292&gt;0,F292/E292,0))</f>
        <v/>
      </c>
      <c r="P292" s="34">
        <f>IF($A292="",NA(),IF(K292+L292&gt;0,K292/(K292+L292),0.5))</f>
        <v/>
      </c>
      <c r="Q292" s="34">
        <f>IF($A292="",NA(),1-P292)</f>
        <v/>
      </c>
      <c r="R292" s="33">
        <f>IF($A292="",NA(),MAX(0,E292-F292)*IF(G292&gt;0,H292/G292,COMPAREC_PAD)*IF(I292&gt;0,J292/I292,VALIDOS_PAD))</f>
        <v/>
      </c>
      <c r="S292" s="34">
        <f>IF($A292="",NA(),IF(R292&gt;0,0.5-(K292-L292)/(2*R292),0))</f>
        <v/>
      </c>
      <c r="T292" s="34">
        <f>IF($A292="",NA(),IF(R292&lt;=0,IF(K292&gt;L292,1,IF(K292&lt;L292,0,0.5)),1-NORMDIST(S292,P292+AJUSTE,SIGMA,TRUE)))</f>
        <v/>
      </c>
      <c r="U292" s="34">
        <f>IF($A292="",NA(),1-T292)</f>
        <v/>
      </c>
    </row>
    <row r="293">
      <c r="C293" s="33" t="n"/>
      <c r="D293" s="33" t="n"/>
      <c r="E293" s="33" t="n"/>
      <c r="F293" s="33" t="n"/>
      <c r="G293" s="33" t="n"/>
      <c r="H293" s="33" t="n"/>
      <c r="I293" s="33" t="n"/>
      <c r="J293" s="33" t="n"/>
      <c r="K293" s="33" t="n"/>
      <c r="L293" s="33" t="n"/>
      <c r="N293" s="34">
        <f>IF($A293="",NA(),IF(C293&gt;0,D293/C293,0))</f>
        <v/>
      </c>
      <c r="O293" s="34">
        <f>IF($A293="",NA(),IF(E293&gt;0,F293/E293,0))</f>
        <v/>
      </c>
      <c r="P293" s="34">
        <f>IF($A293="",NA(),IF(K293+L293&gt;0,K293/(K293+L293),0.5))</f>
        <v/>
      </c>
      <c r="Q293" s="34">
        <f>IF($A293="",NA(),1-P293)</f>
        <v/>
      </c>
      <c r="R293" s="33">
        <f>IF($A293="",NA(),MAX(0,E293-F293)*IF(G293&gt;0,H293/G293,COMPAREC_PAD)*IF(I293&gt;0,J293/I293,VALIDOS_PAD))</f>
        <v/>
      </c>
      <c r="S293" s="34">
        <f>IF($A293="",NA(),IF(R293&gt;0,0.5-(K293-L293)/(2*R293),0))</f>
        <v/>
      </c>
      <c r="T293" s="34">
        <f>IF($A293="",NA(),IF(R293&lt;=0,IF(K293&gt;L293,1,IF(K293&lt;L293,0,0.5)),1-NORMDIST(S293,P293+AJUSTE,SIGMA,TRUE)))</f>
        <v/>
      </c>
      <c r="U293" s="34">
        <f>IF($A293="",NA(),1-T293)</f>
        <v/>
      </c>
    </row>
    <row r="294">
      <c r="C294" s="33" t="n"/>
      <c r="D294" s="33" t="n"/>
      <c r="E294" s="33" t="n"/>
      <c r="F294" s="33" t="n"/>
      <c r="G294" s="33" t="n"/>
      <c r="H294" s="33" t="n"/>
      <c r="I294" s="33" t="n"/>
      <c r="J294" s="33" t="n"/>
      <c r="K294" s="33" t="n"/>
      <c r="L294" s="33" t="n"/>
      <c r="N294" s="34">
        <f>IF($A294="",NA(),IF(C294&gt;0,D294/C294,0))</f>
        <v/>
      </c>
      <c r="O294" s="34">
        <f>IF($A294="",NA(),IF(E294&gt;0,F294/E294,0))</f>
        <v/>
      </c>
      <c r="P294" s="34">
        <f>IF($A294="",NA(),IF(K294+L294&gt;0,K294/(K294+L294),0.5))</f>
        <v/>
      </c>
      <c r="Q294" s="34">
        <f>IF($A294="",NA(),1-P294)</f>
        <v/>
      </c>
      <c r="R294" s="33">
        <f>IF($A294="",NA(),MAX(0,E294-F294)*IF(G294&gt;0,H294/G294,COMPAREC_PAD)*IF(I294&gt;0,J294/I294,VALIDOS_PAD))</f>
        <v/>
      </c>
      <c r="S294" s="34">
        <f>IF($A294="",NA(),IF(R294&gt;0,0.5-(K294-L294)/(2*R294),0))</f>
        <v/>
      </c>
      <c r="T294" s="34">
        <f>IF($A294="",NA(),IF(R294&lt;=0,IF(K294&gt;L294,1,IF(K294&lt;L294,0,0.5)),1-NORMDIST(S294,P294+AJUSTE,SIGMA,TRUE)))</f>
        <v/>
      </c>
      <c r="U294" s="34">
        <f>IF($A294="",NA(),1-T294)</f>
        <v/>
      </c>
    </row>
    <row r="295">
      <c r="C295" s="33" t="n"/>
      <c r="D295" s="33" t="n"/>
      <c r="E295" s="33" t="n"/>
      <c r="F295" s="33" t="n"/>
      <c r="G295" s="33" t="n"/>
      <c r="H295" s="33" t="n"/>
      <c r="I295" s="33" t="n"/>
      <c r="J295" s="33" t="n"/>
      <c r="K295" s="33" t="n"/>
      <c r="L295" s="33" t="n"/>
      <c r="N295" s="34">
        <f>IF($A295="",NA(),IF(C295&gt;0,D295/C295,0))</f>
        <v/>
      </c>
      <c r="O295" s="34">
        <f>IF($A295="",NA(),IF(E295&gt;0,F295/E295,0))</f>
        <v/>
      </c>
      <c r="P295" s="34">
        <f>IF($A295="",NA(),IF(K295+L295&gt;0,K295/(K295+L295),0.5))</f>
        <v/>
      </c>
      <c r="Q295" s="34">
        <f>IF($A295="",NA(),1-P295)</f>
        <v/>
      </c>
      <c r="R295" s="33">
        <f>IF($A295="",NA(),MAX(0,E295-F295)*IF(G295&gt;0,H295/G295,COMPAREC_PAD)*IF(I295&gt;0,J295/I295,VALIDOS_PAD))</f>
        <v/>
      </c>
      <c r="S295" s="34">
        <f>IF($A295="",NA(),IF(R295&gt;0,0.5-(K295-L295)/(2*R295),0))</f>
        <v/>
      </c>
      <c r="T295" s="34">
        <f>IF($A295="",NA(),IF(R295&lt;=0,IF(K295&gt;L295,1,IF(K295&lt;L295,0,0.5)),1-NORMDIST(S295,P295+AJUSTE,SIGMA,TRUE)))</f>
        <v/>
      </c>
      <c r="U295" s="34">
        <f>IF($A295="",NA(),1-T295)</f>
        <v/>
      </c>
    </row>
    <row r="296"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N296" s="34">
        <f>IF($A296="",NA(),IF(C296&gt;0,D296/C296,0))</f>
        <v/>
      </c>
      <c r="O296" s="34">
        <f>IF($A296="",NA(),IF(E296&gt;0,F296/E296,0))</f>
        <v/>
      </c>
      <c r="P296" s="34">
        <f>IF($A296="",NA(),IF(K296+L296&gt;0,K296/(K296+L296),0.5))</f>
        <v/>
      </c>
      <c r="Q296" s="34">
        <f>IF($A296="",NA(),1-P296)</f>
        <v/>
      </c>
      <c r="R296" s="33">
        <f>IF($A296="",NA(),MAX(0,E296-F296)*IF(G296&gt;0,H296/G296,COMPAREC_PAD)*IF(I296&gt;0,J296/I296,VALIDOS_PAD))</f>
        <v/>
      </c>
      <c r="S296" s="34">
        <f>IF($A296="",NA(),IF(R296&gt;0,0.5-(K296-L296)/(2*R296),0))</f>
        <v/>
      </c>
      <c r="T296" s="34">
        <f>IF($A296="",NA(),IF(R296&lt;=0,IF(K296&gt;L296,1,IF(K296&lt;L296,0,0.5)),1-NORMDIST(S296,P296+AJUSTE,SIGMA,TRUE)))</f>
        <v/>
      </c>
      <c r="U296" s="34">
        <f>IF($A296="",NA(),1-T296)</f>
        <v/>
      </c>
    </row>
    <row r="297"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N297" s="34">
        <f>IF($A297="",NA(),IF(C297&gt;0,D297/C297,0))</f>
        <v/>
      </c>
      <c r="O297" s="34">
        <f>IF($A297="",NA(),IF(E297&gt;0,F297/E297,0))</f>
        <v/>
      </c>
      <c r="P297" s="34">
        <f>IF($A297="",NA(),IF(K297+L297&gt;0,K297/(K297+L297),0.5))</f>
        <v/>
      </c>
      <c r="Q297" s="34">
        <f>IF($A297="",NA(),1-P297)</f>
        <v/>
      </c>
      <c r="R297" s="33">
        <f>IF($A297="",NA(),MAX(0,E297-F297)*IF(G297&gt;0,H297/G297,COMPAREC_PAD)*IF(I297&gt;0,J297/I297,VALIDOS_PAD))</f>
        <v/>
      </c>
      <c r="S297" s="34">
        <f>IF($A297="",NA(),IF(R297&gt;0,0.5-(K297-L297)/(2*R297),0))</f>
        <v/>
      </c>
      <c r="T297" s="34">
        <f>IF($A297="",NA(),IF(R297&lt;=0,IF(K297&gt;L297,1,IF(K297&lt;L297,0,0.5)),1-NORMDIST(S297,P297+AJUSTE,SIGMA,TRUE)))</f>
        <v/>
      </c>
      <c r="U297" s="34">
        <f>IF($A297="",NA(),1-T297)</f>
        <v/>
      </c>
    </row>
    <row r="298">
      <c r="C298" s="33" t="n"/>
      <c r="D298" s="33" t="n"/>
      <c r="E298" s="33" t="n"/>
      <c r="F298" s="33" t="n"/>
      <c r="G298" s="33" t="n"/>
      <c r="H298" s="33" t="n"/>
      <c r="I298" s="33" t="n"/>
      <c r="J298" s="33" t="n"/>
      <c r="K298" s="33" t="n"/>
      <c r="L298" s="33" t="n"/>
      <c r="N298" s="34">
        <f>IF($A298="",NA(),IF(C298&gt;0,D298/C298,0))</f>
        <v/>
      </c>
      <c r="O298" s="34">
        <f>IF($A298="",NA(),IF(E298&gt;0,F298/E298,0))</f>
        <v/>
      </c>
      <c r="P298" s="34">
        <f>IF($A298="",NA(),IF(K298+L298&gt;0,K298/(K298+L298),0.5))</f>
        <v/>
      </c>
      <c r="Q298" s="34">
        <f>IF($A298="",NA(),1-P298)</f>
        <v/>
      </c>
      <c r="R298" s="33">
        <f>IF($A298="",NA(),MAX(0,E298-F298)*IF(G298&gt;0,H298/G298,COMPAREC_PAD)*IF(I298&gt;0,J298/I298,VALIDOS_PAD))</f>
        <v/>
      </c>
      <c r="S298" s="34">
        <f>IF($A298="",NA(),IF(R298&gt;0,0.5-(K298-L298)/(2*R298),0))</f>
        <v/>
      </c>
      <c r="T298" s="34">
        <f>IF($A298="",NA(),IF(R298&lt;=0,IF(K298&gt;L298,1,IF(K298&lt;L298,0,0.5)),1-NORMDIST(S298,P298+AJUSTE,SIGMA,TRUE)))</f>
        <v/>
      </c>
      <c r="U298" s="34">
        <f>IF($A298="",NA(),1-T298)</f>
        <v/>
      </c>
    </row>
    <row r="299">
      <c r="C299" s="33" t="n"/>
      <c r="D299" s="33" t="n"/>
      <c r="E299" s="33" t="n"/>
      <c r="F299" s="33" t="n"/>
      <c r="G299" s="33" t="n"/>
      <c r="H299" s="33" t="n"/>
      <c r="I299" s="33" t="n"/>
      <c r="J299" s="33" t="n"/>
      <c r="K299" s="33" t="n"/>
      <c r="L299" s="33" t="n"/>
      <c r="N299" s="34">
        <f>IF($A299="",NA(),IF(C299&gt;0,D299/C299,0))</f>
        <v/>
      </c>
      <c r="O299" s="34">
        <f>IF($A299="",NA(),IF(E299&gt;0,F299/E299,0))</f>
        <v/>
      </c>
      <c r="P299" s="34">
        <f>IF($A299="",NA(),IF(K299+L299&gt;0,K299/(K299+L299),0.5))</f>
        <v/>
      </c>
      <c r="Q299" s="34">
        <f>IF($A299="",NA(),1-P299)</f>
        <v/>
      </c>
      <c r="R299" s="33">
        <f>IF($A299="",NA(),MAX(0,E299-F299)*IF(G299&gt;0,H299/G299,COMPAREC_PAD)*IF(I299&gt;0,J299/I299,VALIDOS_PAD))</f>
        <v/>
      </c>
      <c r="S299" s="34">
        <f>IF($A299="",NA(),IF(R299&gt;0,0.5-(K299-L299)/(2*R299),0))</f>
        <v/>
      </c>
      <c r="T299" s="34">
        <f>IF($A299="",NA(),IF(R299&lt;=0,IF(K299&gt;L299,1,IF(K299&lt;L299,0,0.5)),1-NORMDIST(S299,P299+AJUSTE,SIGMA,TRUE)))</f>
        <v/>
      </c>
      <c r="U299" s="34">
        <f>IF($A299="",NA(),1-T299)</f>
        <v/>
      </c>
    </row>
    <row r="300">
      <c r="C300" s="33" t="n"/>
      <c r="D300" s="33" t="n"/>
      <c r="E300" s="33" t="n"/>
      <c r="F300" s="33" t="n"/>
      <c r="G300" s="33" t="n"/>
      <c r="H300" s="33" t="n"/>
      <c r="I300" s="33" t="n"/>
      <c r="J300" s="33" t="n"/>
      <c r="K300" s="33" t="n"/>
      <c r="L300" s="33" t="n"/>
      <c r="N300" s="34">
        <f>IF($A300="",NA(),IF(C300&gt;0,D300/C300,0))</f>
        <v/>
      </c>
      <c r="O300" s="34">
        <f>IF($A300="",NA(),IF(E300&gt;0,F300/E300,0))</f>
        <v/>
      </c>
      <c r="P300" s="34">
        <f>IF($A300="",NA(),IF(K300+L300&gt;0,K300/(K300+L300),0.5))</f>
        <v/>
      </c>
      <c r="Q300" s="34">
        <f>IF($A300="",NA(),1-P300)</f>
        <v/>
      </c>
      <c r="R300" s="33">
        <f>IF($A300="",NA(),MAX(0,E300-F300)*IF(G300&gt;0,H300/G300,COMPAREC_PAD)*IF(I300&gt;0,J300/I300,VALIDOS_PAD))</f>
        <v/>
      </c>
      <c r="S300" s="34">
        <f>IF($A300="",NA(),IF(R300&gt;0,0.5-(K300-L300)/(2*R300),0))</f>
        <v/>
      </c>
      <c r="T300" s="34">
        <f>IF($A300="",NA(),IF(R300&lt;=0,IF(K300&gt;L300,1,IF(K300&lt;L300,0,0.5)),1-NORMDIST(S300,P300+AJUSTE,SIGMA,TRUE)))</f>
        <v/>
      </c>
      <c r="U300" s="34">
        <f>IF($A300="",NA(),1-T300)</f>
        <v/>
      </c>
    </row>
    <row r="301">
      <c r="C301" s="33" t="n"/>
      <c r="D301" s="33" t="n"/>
      <c r="E301" s="33" t="n"/>
      <c r="F301" s="33" t="n"/>
      <c r="G301" s="33" t="n"/>
      <c r="H301" s="33" t="n"/>
      <c r="I301" s="33" t="n"/>
      <c r="J301" s="33" t="n"/>
      <c r="K301" s="33" t="n"/>
      <c r="L301" s="33" t="n"/>
      <c r="N301" s="34">
        <f>IF($A301="",NA(),IF(C301&gt;0,D301/C301,0))</f>
        <v/>
      </c>
      <c r="O301" s="34">
        <f>IF($A301="",NA(),IF(E301&gt;0,F301/E301,0))</f>
        <v/>
      </c>
      <c r="P301" s="34">
        <f>IF($A301="",NA(),IF(K301+L301&gt;0,K301/(K301+L301),0.5))</f>
        <v/>
      </c>
      <c r="Q301" s="34">
        <f>IF($A301="",NA(),1-P301)</f>
        <v/>
      </c>
      <c r="R301" s="33">
        <f>IF($A301="",NA(),MAX(0,E301-F301)*IF(G301&gt;0,H301/G301,COMPAREC_PAD)*IF(I301&gt;0,J301/I301,VALIDOS_PAD))</f>
        <v/>
      </c>
      <c r="S301" s="34">
        <f>IF($A301="",NA(),IF(R301&gt;0,0.5-(K301-L301)/(2*R301),0))</f>
        <v/>
      </c>
      <c r="T301" s="34">
        <f>IF($A301="",NA(),IF(R301&lt;=0,IF(K301&gt;L301,1,IF(K301&lt;L301,0,0.5)),1-NORMDIST(S301,P301+AJUSTE,SIGMA,TRUE)))</f>
        <v/>
      </c>
      <c r="U301" s="34">
        <f>IF($A301="",NA(),1-T301)</f>
        <v/>
      </c>
    </row>
    <row r="302"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N302" s="34">
        <f>IF($A302="",NA(),IF(C302&gt;0,D302/C302,0))</f>
        <v/>
      </c>
      <c r="O302" s="34">
        <f>IF($A302="",NA(),IF(E302&gt;0,F302/E302,0))</f>
        <v/>
      </c>
      <c r="P302" s="34">
        <f>IF($A302="",NA(),IF(K302+L302&gt;0,K302/(K302+L302),0.5))</f>
        <v/>
      </c>
      <c r="Q302" s="34">
        <f>IF($A302="",NA(),1-P302)</f>
        <v/>
      </c>
      <c r="R302" s="33">
        <f>IF($A302="",NA(),MAX(0,E302-F302)*IF(G302&gt;0,H302/G302,COMPAREC_PAD)*IF(I302&gt;0,J302/I302,VALIDOS_PAD))</f>
        <v/>
      </c>
      <c r="S302" s="34">
        <f>IF($A302="",NA(),IF(R302&gt;0,0.5-(K302-L302)/(2*R302),0))</f>
        <v/>
      </c>
      <c r="T302" s="34">
        <f>IF($A302="",NA(),IF(R302&lt;=0,IF(K302&gt;L302,1,IF(K302&lt;L302,0,0.5)),1-NORMDIST(S302,P302+AJUSTE,SIGMA,TRUE)))</f>
        <v/>
      </c>
      <c r="U302" s="34">
        <f>IF($A302="",NA(),1-T302)</f>
        <v/>
      </c>
    </row>
    <row r="303"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N303" s="34">
        <f>IF($A303="",NA(),IF(C303&gt;0,D303/C303,0))</f>
        <v/>
      </c>
      <c r="O303" s="34">
        <f>IF($A303="",NA(),IF(E303&gt;0,F303/E303,0))</f>
        <v/>
      </c>
      <c r="P303" s="34">
        <f>IF($A303="",NA(),IF(K303+L303&gt;0,K303/(K303+L303),0.5))</f>
        <v/>
      </c>
      <c r="Q303" s="34">
        <f>IF($A303="",NA(),1-P303)</f>
        <v/>
      </c>
      <c r="R303" s="33">
        <f>IF($A303="",NA(),MAX(0,E303-F303)*IF(G303&gt;0,H303/G303,COMPAREC_PAD)*IF(I303&gt;0,J303/I303,VALIDOS_PAD))</f>
        <v/>
      </c>
      <c r="S303" s="34">
        <f>IF($A303="",NA(),IF(R303&gt;0,0.5-(K303-L303)/(2*R303),0))</f>
        <v/>
      </c>
      <c r="T303" s="34">
        <f>IF($A303="",NA(),IF(R303&lt;=0,IF(K303&gt;L303,1,IF(K303&lt;L303,0,0.5)),1-NORMDIST(S303,P303+AJUSTE,SIGMA,TRUE)))</f>
        <v/>
      </c>
      <c r="U303" s="34">
        <f>IF($A303="",NA(),1-T303)</f>
        <v/>
      </c>
    </row>
    <row r="304"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  <c r="N304" s="34">
        <f>IF($A304="",NA(),IF(C304&gt;0,D304/C304,0))</f>
        <v/>
      </c>
      <c r="O304" s="34">
        <f>IF($A304="",NA(),IF(E304&gt;0,F304/E304,0))</f>
        <v/>
      </c>
      <c r="P304" s="34">
        <f>IF($A304="",NA(),IF(K304+L304&gt;0,K304/(K304+L304),0.5))</f>
        <v/>
      </c>
      <c r="Q304" s="34">
        <f>IF($A304="",NA(),1-P304)</f>
        <v/>
      </c>
      <c r="R304" s="33">
        <f>IF($A304="",NA(),MAX(0,E304-F304)*IF(G304&gt;0,H304/G304,COMPAREC_PAD)*IF(I304&gt;0,J304/I304,VALIDOS_PAD))</f>
        <v/>
      </c>
      <c r="S304" s="34">
        <f>IF($A304="",NA(),IF(R304&gt;0,0.5-(K304-L304)/(2*R304),0))</f>
        <v/>
      </c>
      <c r="T304" s="34">
        <f>IF($A304="",NA(),IF(R304&lt;=0,IF(K304&gt;L304,1,IF(K304&lt;L304,0,0.5)),1-NORMDIST(S304,P304+AJUSTE,SIGMA,TRUE)))</f>
        <v/>
      </c>
      <c r="U304" s="34">
        <f>IF($A304="",NA(),1-T304)</f>
        <v/>
      </c>
    </row>
    <row r="305">
      <c r="C305" s="33" t="n"/>
      <c r="D305" s="33" t="n"/>
      <c r="E305" s="33" t="n"/>
      <c r="F305" s="33" t="n"/>
      <c r="G305" s="33" t="n"/>
      <c r="H305" s="33" t="n"/>
      <c r="I305" s="33" t="n"/>
      <c r="J305" s="33" t="n"/>
      <c r="K305" s="33" t="n"/>
      <c r="L305" s="33" t="n"/>
      <c r="N305" s="34">
        <f>IF($A305="",NA(),IF(C305&gt;0,D305/C305,0))</f>
        <v/>
      </c>
      <c r="O305" s="34">
        <f>IF($A305="",NA(),IF(E305&gt;0,F305/E305,0))</f>
        <v/>
      </c>
      <c r="P305" s="34">
        <f>IF($A305="",NA(),IF(K305+L305&gt;0,K305/(K305+L305),0.5))</f>
        <v/>
      </c>
      <c r="Q305" s="34">
        <f>IF($A305="",NA(),1-P305)</f>
        <v/>
      </c>
      <c r="R305" s="33">
        <f>IF($A305="",NA(),MAX(0,E305-F305)*IF(G305&gt;0,H305/G305,COMPAREC_PAD)*IF(I305&gt;0,J305/I305,VALIDOS_PAD))</f>
        <v/>
      </c>
      <c r="S305" s="34">
        <f>IF($A305="",NA(),IF(R305&gt;0,0.5-(K305-L305)/(2*R305),0))</f>
        <v/>
      </c>
      <c r="T305" s="34">
        <f>IF($A305="",NA(),IF(R305&lt;=0,IF(K305&gt;L305,1,IF(K305&lt;L305,0,0.5)),1-NORMDIST(S305,P305+AJUSTE,SIGMA,TRUE)))</f>
        <v/>
      </c>
      <c r="U305" s="34">
        <f>IF($A305="",NA(),1-T305)</f>
        <v/>
      </c>
    </row>
    <row r="306">
      <c r="C306" s="33" t="n"/>
      <c r="D306" s="33" t="n"/>
      <c r="E306" s="33" t="n"/>
      <c r="F306" s="33" t="n"/>
      <c r="G306" s="33" t="n"/>
      <c r="H306" s="33" t="n"/>
      <c r="I306" s="33" t="n"/>
      <c r="J306" s="33" t="n"/>
      <c r="K306" s="33" t="n"/>
      <c r="L306" s="33" t="n"/>
      <c r="N306" s="34">
        <f>IF($A306="",NA(),IF(C306&gt;0,D306/C306,0))</f>
        <v/>
      </c>
      <c r="O306" s="34">
        <f>IF($A306="",NA(),IF(E306&gt;0,F306/E306,0))</f>
        <v/>
      </c>
      <c r="P306" s="34">
        <f>IF($A306="",NA(),IF(K306+L306&gt;0,K306/(K306+L306),0.5))</f>
        <v/>
      </c>
      <c r="Q306" s="34">
        <f>IF($A306="",NA(),1-P306)</f>
        <v/>
      </c>
      <c r="R306" s="33">
        <f>IF($A306="",NA(),MAX(0,E306-F306)*IF(G306&gt;0,H306/G306,COMPAREC_PAD)*IF(I306&gt;0,J306/I306,VALIDOS_PAD))</f>
        <v/>
      </c>
      <c r="S306" s="34">
        <f>IF($A306="",NA(),IF(R306&gt;0,0.5-(K306-L306)/(2*R306),0))</f>
        <v/>
      </c>
      <c r="T306" s="34">
        <f>IF($A306="",NA(),IF(R306&lt;=0,IF(K306&gt;L306,1,IF(K306&lt;L306,0,0.5)),1-NORMDIST(S306,P306+AJUSTE,SIGMA,TRUE)))</f>
        <v/>
      </c>
      <c r="U306" s="34">
        <f>IF($A306="",NA(),1-T306)</f>
        <v/>
      </c>
    </row>
    <row r="307">
      <c r="C307" s="33" t="n"/>
      <c r="D307" s="33" t="n"/>
      <c r="E307" s="33" t="n"/>
      <c r="F307" s="33" t="n"/>
      <c r="G307" s="33" t="n"/>
      <c r="H307" s="33" t="n"/>
      <c r="I307" s="33" t="n"/>
      <c r="J307" s="33" t="n"/>
      <c r="K307" s="33" t="n"/>
      <c r="L307" s="33" t="n"/>
      <c r="N307" s="34">
        <f>IF($A307="",NA(),IF(C307&gt;0,D307/C307,0))</f>
        <v/>
      </c>
      <c r="O307" s="34">
        <f>IF($A307="",NA(),IF(E307&gt;0,F307/E307,0))</f>
        <v/>
      </c>
      <c r="P307" s="34">
        <f>IF($A307="",NA(),IF(K307+L307&gt;0,K307/(K307+L307),0.5))</f>
        <v/>
      </c>
      <c r="Q307" s="34">
        <f>IF($A307="",NA(),1-P307)</f>
        <v/>
      </c>
      <c r="R307" s="33">
        <f>IF($A307="",NA(),MAX(0,E307-F307)*IF(G307&gt;0,H307/G307,COMPAREC_PAD)*IF(I307&gt;0,J307/I307,VALIDOS_PAD))</f>
        <v/>
      </c>
      <c r="S307" s="34">
        <f>IF($A307="",NA(),IF(R307&gt;0,0.5-(K307-L307)/(2*R307),0))</f>
        <v/>
      </c>
      <c r="T307" s="34">
        <f>IF($A307="",NA(),IF(R307&lt;=0,IF(K307&gt;L307,1,IF(K307&lt;L307,0,0.5)),1-NORMDIST(S307,P307+AJUSTE,SIGMA,TRUE)))</f>
        <v/>
      </c>
      <c r="U307" s="34">
        <f>IF($A307="",NA(),1-T307)</f>
        <v/>
      </c>
    </row>
    <row r="308">
      <c r="C308" s="33" t="n"/>
      <c r="D308" s="33" t="n"/>
      <c r="E308" s="33" t="n"/>
      <c r="F308" s="33" t="n"/>
      <c r="G308" s="33" t="n"/>
      <c r="H308" s="33" t="n"/>
      <c r="I308" s="33" t="n"/>
      <c r="J308" s="33" t="n"/>
      <c r="K308" s="33" t="n"/>
      <c r="L308" s="33" t="n"/>
      <c r="N308" s="34">
        <f>IF($A308="",NA(),IF(C308&gt;0,D308/C308,0))</f>
        <v/>
      </c>
      <c r="O308" s="34">
        <f>IF($A308="",NA(),IF(E308&gt;0,F308/E308,0))</f>
        <v/>
      </c>
      <c r="P308" s="34">
        <f>IF($A308="",NA(),IF(K308+L308&gt;0,K308/(K308+L308),0.5))</f>
        <v/>
      </c>
      <c r="Q308" s="34">
        <f>IF($A308="",NA(),1-P308)</f>
        <v/>
      </c>
      <c r="R308" s="33">
        <f>IF($A308="",NA(),MAX(0,E308-F308)*IF(G308&gt;0,H308/G308,COMPAREC_PAD)*IF(I308&gt;0,J308/I308,VALIDOS_PAD))</f>
        <v/>
      </c>
      <c r="S308" s="34">
        <f>IF($A308="",NA(),IF(R308&gt;0,0.5-(K308-L308)/(2*R308),0))</f>
        <v/>
      </c>
      <c r="T308" s="34">
        <f>IF($A308="",NA(),IF(R308&lt;=0,IF(K308&gt;L308,1,IF(K308&lt;L308,0,0.5)),1-NORMDIST(S308,P308+AJUSTE,SIGMA,TRUE)))</f>
        <v/>
      </c>
      <c r="U308" s="34">
        <f>IF($A308="",NA(),1-T308)</f>
        <v/>
      </c>
    </row>
    <row r="309"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N309" s="34">
        <f>IF($A309="",NA(),IF(C309&gt;0,D309/C309,0))</f>
        <v/>
      </c>
      <c r="O309" s="34">
        <f>IF($A309="",NA(),IF(E309&gt;0,F309/E309,0))</f>
        <v/>
      </c>
      <c r="P309" s="34">
        <f>IF($A309="",NA(),IF(K309+L309&gt;0,K309/(K309+L309),0.5))</f>
        <v/>
      </c>
      <c r="Q309" s="34">
        <f>IF($A309="",NA(),1-P309)</f>
        <v/>
      </c>
      <c r="R309" s="33">
        <f>IF($A309="",NA(),MAX(0,E309-F309)*IF(G309&gt;0,H309/G309,COMPAREC_PAD)*IF(I309&gt;0,J309/I309,VALIDOS_PAD))</f>
        <v/>
      </c>
      <c r="S309" s="34">
        <f>IF($A309="",NA(),IF(R309&gt;0,0.5-(K309-L309)/(2*R309),0))</f>
        <v/>
      </c>
      <c r="T309" s="34">
        <f>IF($A309="",NA(),IF(R309&lt;=0,IF(K309&gt;L309,1,IF(K309&lt;L309,0,0.5)),1-NORMDIST(S309,P309+AJUSTE,SIGMA,TRUE)))</f>
        <v/>
      </c>
      <c r="U309" s="34">
        <f>IF($A309="",NA(),1-T309)</f>
        <v/>
      </c>
    </row>
    <row r="310"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N310" s="34">
        <f>IF($A310="",NA(),IF(C310&gt;0,D310/C310,0))</f>
        <v/>
      </c>
      <c r="O310" s="34">
        <f>IF($A310="",NA(),IF(E310&gt;0,F310/E310,0))</f>
        <v/>
      </c>
      <c r="P310" s="34">
        <f>IF($A310="",NA(),IF(K310+L310&gt;0,K310/(K310+L310),0.5))</f>
        <v/>
      </c>
      <c r="Q310" s="34">
        <f>IF($A310="",NA(),1-P310)</f>
        <v/>
      </c>
      <c r="R310" s="33">
        <f>IF($A310="",NA(),MAX(0,E310-F310)*IF(G310&gt;0,H310/G310,COMPAREC_PAD)*IF(I310&gt;0,J310/I310,VALIDOS_PAD))</f>
        <v/>
      </c>
      <c r="S310" s="34">
        <f>IF($A310="",NA(),IF(R310&gt;0,0.5-(K310-L310)/(2*R310),0))</f>
        <v/>
      </c>
      <c r="T310" s="34">
        <f>IF($A310="",NA(),IF(R310&lt;=0,IF(K310&gt;L310,1,IF(K310&lt;L310,0,0.5)),1-NORMDIST(S310,P310+AJUSTE,SIGMA,TRUE)))</f>
        <v/>
      </c>
      <c r="U310" s="34">
        <f>IF($A310="",NA(),1-T310)</f>
        <v/>
      </c>
    </row>
    <row r="311">
      <c r="C311" s="33" t="n"/>
      <c r="D311" s="33" t="n"/>
      <c r="E311" s="33" t="n"/>
      <c r="F311" s="33" t="n"/>
      <c r="G311" s="33" t="n"/>
      <c r="H311" s="33" t="n"/>
      <c r="I311" s="33" t="n"/>
      <c r="J311" s="33" t="n"/>
      <c r="K311" s="33" t="n"/>
      <c r="L311" s="33" t="n"/>
      <c r="N311" s="34">
        <f>IF($A311="",NA(),IF(C311&gt;0,D311/C311,0))</f>
        <v/>
      </c>
      <c r="O311" s="34">
        <f>IF($A311="",NA(),IF(E311&gt;0,F311/E311,0))</f>
        <v/>
      </c>
      <c r="P311" s="34">
        <f>IF($A311="",NA(),IF(K311+L311&gt;0,K311/(K311+L311),0.5))</f>
        <v/>
      </c>
      <c r="Q311" s="34">
        <f>IF($A311="",NA(),1-P311)</f>
        <v/>
      </c>
      <c r="R311" s="33">
        <f>IF($A311="",NA(),MAX(0,E311-F311)*IF(G311&gt;0,H311/G311,COMPAREC_PAD)*IF(I311&gt;0,J311/I311,VALIDOS_PAD))</f>
        <v/>
      </c>
      <c r="S311" s="34">
        <f>IF($A311="",NA(),IF(R311&gt;0,0.5-(K311-L311)/(2*R311),0))</f>
        <v/>
      </c>
      <c r="T311" s="34">
        <f>IF($A311="",NA(),IF(R311&lt;=0,IF(K311&gt;L311,1,IF(K311&lt;L311,0,0.5)),1-NORMDIST(S311,P311+AJUSTE,SIGMA,TRUE)))</f>
        <v/>
      </c>
      <c r="U311" s="34">
        <f>IF($A311="",NA(),1-T311)</f>
        <v/>
      </c>
    </row>
    <row r="312">
      <c r="C312" s="33" t="n"/>
      <c r="D312" s="33" t="n"/>
      <c r="E312" s="33" t="n"/>
      <c r="F312" s="33" t="n"/>
      <c r="G312" s="33" t="n"/>
      <c r="H312" s="33" t="n"/>
      <c r="I312" s="33" t="n"/>
      <c r="J312" s="33" t="n"/>
      <c r="K312" s="33" t="n"/>
      <c r="L312" s="33" t="n"/>
      <c r="N312" s="34">
        <f>IF($A312="",NA(),IF(C312&gt;0,D312/C312,0))</f>
        <v/>
      </c>
      <c r="O312" s="34">
        <f>IF($A312="",NA(),IF(E312&gt;0,F312/E312,0))</f>
        <v/>
      </c>
      <c r="P312" s="34">
        <f>IF($A312="",NA(),IF(K312+L312&gt;0,K312/(K312+L312),0.5))</f>
        <v/>
      </c>
      <c r="Q312" s="34">
        <f>IF($A312="",NA(),1-P312)</f>
        <v/>
      </c>
      <c r="R312" s="33">
        <f>IF($A312="",NA(),MAX(0,E312-F312)*IF(G312&gt;0,H312/G312,COMPAREC_PAD)*IF(I312&gt;0,J312/I312,VALIDOS_PAD))</f>
        <v/>
      </c>
      <c r="S312" s="34">
        <f>IF($A312="",NA(),IF(R312&gt;0,0.5-(K312-L312)/(2*R312),0))</f>
        <v/>
      </c>
      <c r="T312" s="34">
        <f>IF($A312="",NA(),IF(R312&lt;=0,IF(K312&gt;L312,1,IF(K312&lt;L312,0,0.5)),1-NORMDIST(S312,P312+AJUSTE,SIGMA,TRUE)))</f>
        <v/>
      </c>
      <c r="U312" s="34">
        <f>IF($A312="",NA(),1-T312)</f>
        <v/>
      </c>
    </row>
    <row r="313">
      <c r="C313" s="33" t="n"/>
      <c r="D313" s="33" t="n"/>
      <c r="E313" s="33" t="n"/>
      <c r="F313" s="33" t="n"/>
      <c r="G313" s="33" t="n"/>
      <c r="H313" s="33" t="n"/>
      <c r="I313" s="33" t="n"/>
      <c r="J313" s="33" t="n"/>
      <c r="K313" s="33" t="n"/>
      <c r="L313" s="33" t="n"/>
      <c r="N313" s="34">
        <f>IF($A313="",NA(),IF(C313&gt;0,D313/C313,0))</f>
        <v/>
      </c>
      <c r="O313" s="34">
        <f>IF($A313="",NA(),IF(E313&gt;0,F313/E313,0))</f>
        <v/>
      </c>
      <c r="P313" s="34">
        <f>IF($A313="",NA(),IF(K313+L313&gt;0,K313/(K313+L313),0.5))</f>
        <v/>
      </c>
      <c r="Q313" s="34">
        <f>IF($A313="",NA(),1-P313)</f>
        <v/>
      </c>
      <c r="R313" s="33">
        <f>IF($A313="",NA(),MAX(0,E313-F313)*IF(G313&gt;0,H313/G313,COMPAREC_PAD)*IF(I313&gt;0,J313/I313,VALIDOS_PAD))</f>
        <v/>
      </c>
      <c r="S313" s="34">
        <f>IF($A313="",NA(),IF(R313&gt;0,0.5-(K313-L313)/(2*R313),0))</f>
        <v/>
      </c>
      <c r="T313" s="34">
        <f>IF($A313="",NA(),IF(R313&lt;=0,IF(K313&gt;L313,1,IF(K313&lt;L313,0,0.5)),1-NORMDIST(S313,P313+AJUSTE,SIGMA,TRUE)))</f>
        <v/>
      </c>
      <c r="U313" s="34">
        <f>IF($A313="",NA(),1-T313)</f>
        <v/>
      </c>
    </row>
    <row r="314">
      <c r="C314" s="33" t="n"/>
      <c r="D314" s="33" t="n"/>
      <c r="E314" s="33" t="n"/>
      <c r="F314" s="33" t="n"/>
      <c r="G314" s="33" t="n"/>
      <c r="H314" s="33" t="n"/>
      <c r="I314" s="33" t="n"/>
      <c r="J314" s="33" t="n"/>
      <c r="K314" s="33" t="n"/>
      <c r="L314" s="33" t="n"/>
      <c r="N314" s="34">
        <f>IF($A314="",NA(),IF(C314&gt;0,D314/C314,0))</f>
        <v/>
      </c>
      <c r="O314" s="34">
        <f>IF($A314="",NA(),IF(E314&gt;0,F314/E314,0))</f>
        <v/>
      </c>
      <c r="P314" s="34">
        <f>IF($A314="",NA(),IF(K314+L314&gt;0,K314/(K314+L314),0.5))</f>
        <v/>
      </c>
      <c r="Q314" s="34">
        <f>IF($A314="",NA(),1-P314)</f>
        <v/>
      </c>
      <c r="R314" s="33">
        <f>IF($A314="",NA(),MAX(0,E314-F314)*IF(G314&gt;0,H314/G314,COMPAREC_PAD)*IF(I314&gt;0,J314/I314,VALIDOS_PAD))</f>
        <v/>
      </c>
      <c r="S314" s="34">
        <f>IF($A314="",NA(),IF(R314&gt;0,0.5-(K314-L314)/(2*R314),0))</f>
        <v/>
      </c>
      <c r="T314" s="34">
        <f>IF($A314="",NA(),IF(R314&lt;=0,IF(K314&gt;L314,1,IF(K314&lt;L314,0,0.5)),1-NORMDIST(S314,P314+AJUSTE,SIGMA,TRUE)))</f>
        <v/>
      </c>
      <c r="U314" s="34">
        <f>IF($A314="",NA(),1-T314)</f>
        <v/>
      </c>
    </row>
    <row r="315"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N315" s="34">
        <f>IF($A315="",NA(),IF(C315&gt;0,D315/C315,0))</f>
        <v/>
      </c>
      <c r="O315" s="34">
        <f>IF($A315="",NA(),IF(E315&gt;0,F315/E315,0))</f>
        <v/>
      </c>
      <c r="P315" s="34">
        <f>IF($A315="",NA(),IF(K315+L315&gt;0,K315/(K315+L315),0.5))</f>
        <v/>
      </c>
      <c r="Q315" s="34">
        <f>IF($A315="",NA(),1-P315)</f>
        <v/>
      </c>
      <c r="R315" s="33">
        <f>IF($A315="",NA(),MAX(0,E315-F315)*IF(G315&gt;0,H315/G315,COMPAREC_PAD)*IF(I315&gt;0,J315/I315,VALIDOS_PAD))</f>
        <v/>
      </c>
      <c r="S315" s="34">
        <f>IF($A315="",NA(),IF(R315&gt;0,0.5-(K315-L315)/(2*R315),0))</f>
        <v/>
      </c>
      <c r="T315" s="34">
        <f>IF($A315="",NA(),IF(R315&lt;=0,IF(K315&gt;L315,1,IF(K315&lt;L315,0,0.5)),1-NORMDIST(S315,P315+AJUSTE,SIGMA,TRUE)))</f>
        <v/>
      </c>
      <c r="U315" s="34">
        <f>IF($A315="",NA(),1-T315)</f>
        <v/>
      </c>
    </row>
    <row r="316"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N316" s="34">
        <f>IF($A316="",NA(),IF(C316&gt;0,D316/C316,0))</f>
        <v/>
      </c>
      <c r="O316" s="34">
        <f>IF($A316="",NA(),IF(E316&gt;0,F316/E316,0))</f>
        <v/>
      </c>
      <c r="P316" s="34">
        <f>IF($A316="",NA(),IF(K316+L316&gt;0,K316/(K316+L316),0.5))</f>
        <v/>
      </c>
      <c r="Q316" s="34">
        <f>IF($A316="",NA(),1-P316)</f>
        <v/>
      </c>
      <c r="R316" s="33">
        <f>IF($A316="",NA(),MAX(0,E316-F316)*IF(G316&gt;0,H316/G316,COMPAREC_PAD)*IF(I316&gt;0,J316/I316,VALIDOS_PAD))</f>
        <v/>
      </c>
      <c r="S316" s="34">
        <f>IF($A316="",NA(),IF(R316&gt;0,0.5-(K316-L316)/(2*R316),0))</f>
        <v/>
      </c>
      <c r="T316" s="34">
        <f>IF($A316="",NA(),IF(R316&lt;=0,IF(K316&gt;L316,1,IF(K316&lt;L316,0,0.5)),1-NORMDIST(S316,P316+AJUSTE,SIGMA,TRUE)))</f>
        <v/>
      </c>
      <c r="U316" s="34">
        <f>IF($A316="",NA(),1-T316)</f>
        <v/>
      </c>
    </row>
    <row r="317"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3" t="n"/>
      <c r="N317" s="34">
        <f>IF($A317="",NA(),IF(C317&gt;0,D317/C317,0))</f>
        <v/>
      </c>
      <c r="O317" s="34">
        <f>IF($A317="",NA(),IF(E317&gt;0,F317/E317,0))</f>
        <v/>
      </c>
      <c r="P317" s="34">
        <f>IF($A317="",NA(),IF(K317+L317&gt;0,K317/(K317+L317),0.5))</f>
        <v/>
      </c>
      <c r="Q317" s="34">
        <f>IF($A317="",NA(),1-P317)</f>
        <v/>
      </c>
      <c r="R317" s="33">
        <f>IF($A317="",NA(),MAX(0,E317-F317)*IF(G317&gt;0,H317/G317,COMPAREC_PAD)*IF(I317&gt;0,J317/I317,VALIDOS_PAD))</f>
        <v/>
      </c>
      <c r="S317" s="34">
        <f>IF($A317="",NA(),IF(R317&gt;0,0.5-(K317-L317)/(2*R317),0))</f>
        <v/>
      </c>
      <c r="T317" s="34">
        <f>IF($A317="",NA(),IF(R317&lt;=0,IF(K317&gt;L317,1,IF(K317&lt;L317,0,0.5)),1-NORMDIST(S317,P317+AJUSTE,SIGMA,TRUE)))</f>
        <v/>
      </c>
      <c r="U317" s="34">
        <f>IF($A317="",NA(),1-T317)</f>
        <v/>
      </c>
    </row>
    <row r="318">
      <c r="C318" s="33" t="n"/>
      <c r="D318" s="33" t="n"/>
      <c r="E318" s="33" t="n"/>
      <c r="F318" s="33" t="n"/>
      <c r="G318" s="33" t="n"/>
      <c r="H318" s="33" t="n"/>
      <c r="I318" s="33" t="n"/>
      <c r="J318" s="33" t="n"/>
      <c r="K318" s="33" t="n"/>
      <c r="L318" s="33" t="n"/>
      <c r="N318" s="34">
        <f>IF($A318="",NA(),IF(C318&gt;0,D318/C318,0))</f>
        <v/>
      </c>
      <c r="O318" s="34">
        <f>IF($A318="",NA(),IF(E318&gt;0,F318/E318,0))</f>
        <v/>
      </c>
      <c r="P318" s="34">
        <f>IF($A318="",NA(),IF(K318+L318&gt;0,K318/(K318+L318),0.5))</f>
        <v/>
      </c>
      <c r="Q318" s="34">
        <f>IF($A318="",NA(),1-P318)</f>
        <v/>
      </c>
      <c r="R318" s="33">
        <f>IF($A318="",NA(),MAX(0,E318-F318)*IF(G318&gt;0,H318/G318,COMPAREC_PAD)*IF(I318&gt;0,J318/I318,VALIDOS_PAD))</f>
        <v/>
      </c>
      <c r="S318" s="34">
        <f>IF($A318="",NA(),IF(R318&gt;0,0.5-(K318-L318)/(2*R318),0))</f>
        <v/>
      </c>
      <c r="T318" s="34">
        <f>IF($A318="",NA(),IF(R318&lt;=0,IF(K318&gt;L318,1,IF(K318&lt;L318,0,0.5)),1-NORMDIST(S318,P318+AJUSTE,SIGMA,TRUE)))</f>
        <v/>
      </c>
      <c r="U318" s="34">
        <f>IF($A318="",NA(),1-T318)</f>
        <v/>
      </c>
    </row>
    <row r="319">
      <c r="C319" s="33" t="n"/>
      <c r="D319" s="33" t="n"/>
      <c r="E319" s="33" t="n"/>
      <c r="F319" s="33" t="n"/>
      <c r="G319" s="33" t="n"/>
      <c r="H319" s="33" t="n"/>
      <c r="I319" s="33" t="n"/>
      <c r="J319" s="33" t="n"/>
      <c r="K319" s="33" t="n"/>
      <c r="L319" s="33" t="n"/>
      <c r="N319" s="34">
        <f>IF($A319="",NA(),IF(C319&gt;0,D319/C319,0))</f>
        <v/>
      </c>
      <c r="O319" s="34">
        <f>IF($A319="",NA(),IF(E319&gt;0,F319/E319,0))</f>
        <v/>
      </c>
      <c r="P319" s="34">
        <f>IF($A319="",NA(),IF(K319+L319&gt;0,K319/(K319+L319),0.5))</f>
        <v/>
      </c>
      <c r="Q319" s="34">
        <f>IF($A319="",NA(),1-P319)</f>
        <v/>
      </c>
      <c r="R319" s="33">
        <f>IF($A319="",NA(),MAX(0,E319-F319)*IF(G319&gt;0,H319/G319,COMPAREC_PAD)*IF(I319&gt;0,J319/I319,VALIDOS_PAD))</f>
        <v/>
      </c>
      <c r="S319" s="34">
        <f>IF($A319="",NA(),IF(R319&gt;0,0.5-(K319-L319)/(2*R319),0))</f>
        <v/>
      </c>
      <c r="T319" s="34">
        <f>IF($A319="",NA(),IF(R319&lt;=0,IF(K319&gt;L319,1,IF(K319&lt;L319,0,0.5)),1-NORMDIST(S319,P319+AJUSTE,SIGMA,TRUE)))</f>
        <v/>
      </c>
      <c r="U319" s="34">
        <f>IF($A319="",NA(),1-T319)</f>
        <v/>
      </c>
    </row>
    <row r="320">
      <c r="C320" s="33" t="n"/>
      <c r="D320" s="33" t="n"/>
      <c r="E320" s="33" t="n"/>
      <c r="F320" s="33" t="n"/>
      <c r="G320" s="33" t="n"/>
      <c r="H320" s="33" t="n"/>
      <c r="I320" s="33" t="n"/>
      <c r="J320" s="33" t="n"/>
      <c r="K320" s="33" t="n"/>
      <c r="L320" s="33" t="n"/>
      <c r="N320" s="34">
        <f>IF($A320="",NA(),IF(C320&gt;0,D320/C320,0))</f>
        <v/>
      </c>
      <c r="O320" s="34">
        <f>IF($A320="",NA(),IF(E320&gt;0,F320/E320,0))</f>
        <v/>
      </c>
      <c r="P320" s="34">
        <f>IF($A320="",NA(),IF(K320+L320&gt;0,K320/(K320+L320),0.5))</f>
        <v/>
      </c>
      <c r="Q320" s="34">
        <f>IF($A320="",NA(),1-P320)</f>
        <v/>
      </c>
      <c r="R320" s="33">
        <f>IF($A320="",NA(),MAX(0,E320-F320)*IF(G320&gt;0,H320/G320,COMPAREC_PAD)*IF(I320&gt;0,J320/I320,VALIDOS_PAD))</f>
        <v/>
      </c>
      <c r="S320" s="34">
        <f>IF($A320="",NA(),IF(R320&gt;0,0.5-(K320-L320)/(2*R320),0))</f>
        <v/>
      </c>
      <c r="T320" s="34">
        <f>IF($A320="",NA(),IF(R320&lt;=0,IF(K320&gt;L320,1,IF(K320&lt;L320,0,0.5)),1-NORMDIST(S320,P320+AJUSTE,SIGMA,TRUE)))</f>
        <v/>
      </c>
      <c r="U320" s="34">
        <f>IF($A320="",NA(),1-T320)</f>
        <v/>
      </c>
    </row>
    <row r="321">
      <c r="C321" s="33" t="n"/>
      <c r="D321" s="33" t="n"/>
      <c r="E321" s="33" t="n"/>
      <c r="F321" s="33" t="n"/>
      <c r="G321" s="33" t="n"/>
      <c r="H321" s="33" t="n"/>
      <c r="I321" s="33" t="n"/>
      <c r="J321" s="33" t="n"/>
      <c r="K321" s="33" t="n"/>
      <c r="L321" s="33" t="n"/>
      <c r="N321" s="34">
        <f>IF($A321="",NA(),IF(C321&gt;0,D321/C321,0))</f>
        <v/>
      </c>
      <c r="O321" s="34">
        <f>IF($A321="",NA(),IF(E321&gt;0,F321/E321,0))</f>
        <v/>
      </c>
      <c r="P321" s="34">
        <f>IF($A321="",NA(),IF(K321+L321&gt;0,K321/(K321+L321),0.5))</f>
        <v/>
      </c>
      <c r="Q321" s="34">
        <f>IF($A321="",NA(),1-P321)</f>
        <v/>
      </c>
      <c r="R321" s="33">
        <f>IF($A321="",NA(),MAX(0,E321-F321)*IF(G321&gt;0,H321/G321,COMPAREC_PAD)*IF(I321&gt;0,J321/I321,VALIDOS_PAD))</f>
        <v/>
      </c>
      <c r="S321" s="34">
        <f>IF($A321="",NA(),IF(R321&gt;0,0.5-(K321-L321)/(2*R321),0))</f>
        <v/>
      </c>
      <c r="T321" s="34">
        <f>IF($A321="",NA(),IF(R321&lt;=0,IF(K321&gt;L321,1,IF(K321&lt;L321,0,0.5)),1-NORMDIST(S321,P321+AJUSTE,SIGMA,TRUE)))</f>
        <v/>
      </c>
      <c r="U321" s="34">
        <f>IF($A321="",NA(),1-T321)</f>
        <v/>
      </c>
    </row>
    <row r="322"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N322" s="34">
        <f>IF($A322="",NA(),IF(C322&gt;0,D322/C322,0))</f>
        <v/>
      </c>
      <c r="O322" s="34">
        <f>IF($A322="",NA(),IF(E322&gt;0,F322/E322,0))</f>
        <v/>
      </c>
      <c r="P322" s="34">
        <f>IF($A322="",NA(),IF(K322+L322&gt;0,K322/(K322+L322),0.5))</f>
        <v/>
      </c>
      <c r="Q322" s="34">
        <f>IF($A322="",NA(),1-P322)</f>
        <v/>
      </c>
      <c r="R322" s="33">
        <f>IF($A322="",NA(),MAX(0,E322-F322)*IF(G322&gt;0,H322/G322,COMPAREC_PAD)*IF(I322&gt;0,J322/I322,VALIDOS_PAD))</f>
        <v/>
      </c>
      <c r="S322" s="34">
        <f>IF($A322="",NA(),IF(R322&gt;0,0.5-(K322-L322)/(2*R322),0))</f>
        <v/>
      </c>
      <c r="T322" s="34">
        <f>IF($A322="",NA(),IF(R322&lt;=0,IF(K322&gt;L322,1,IF(K322&lt;L322,0,0.5)),1-NORMDIST(S322,P322+AJUSTE,SIGMA,TRUE)))</f>
        <v/>
      </c>
      <c r="U322" s="34">
        <f>IF($A322="",NA(),1-T322)</f>
        <v/>
      </c>
    </row>
    <row r="323"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N323" s="34">
        <f>IF($A323="",NA(),IF(C323&gt;0,D323/C323,0))</f>
        <v/>
      </c>
      <c r="O323" s="34">
        <f>IF($A323="",NA(),IF(E323&gt;0,F323/E323,0))</f>
        <v/>
      </c>
      <c r="P323" s="34">
        <f>IF($A323="",NA(),IF(K323+L323&gt;0,K323/(K323+L323),0.5))</f>
        <v/>
      </c>
      <c r="Q323" s="34">
        <f>IF($A323="",NA(),1-P323)</f>
        <v/>
      </c>
      <c r="R323" s="33">
        <f>IF($A323="",NA(),MAX(0,E323-F323)*IF(G323&gt;0,H323/G323,COMPAREC_PAD)*IF(I323&gt;0,J323/I323,VALIDOS_PAD))</f>
        <v/>
      </c>
      <c r="S323" s="34">
        <f>IF($A323="",NA(),IF(R323&gt;0,0.5-(K323-L323)/(2*R323),0))</f>
        <v/>
      </c>
      <c r="T323" s="34">
        <f>IF($A323="",NA(),IF(R323&lt;=0,IF(K323&gt;L323,1,IF(K323&lt;L323,0,0.5)),1-NORMDIST(S323,P323+AJUSTE,SIGMA,TRUE)))</f>
        <v/>
      </c>
      <c r="U323" s="34">
        <f>IF($A323="",NA(),1-T323)</f>
        <v/>
      </c>
    </row>
    <row r="324">
      <c r="C324" s="33" t="n"/>
      <c r="D324" s="33" t="n"/>
      <c r="E324" s="33" t="n"/>
      <c r="F324" s="33" t="n"/>
      <c r="G324" s="33" t="n"/>
      <c r="H324" s="33" t="n"/>
      <c r="I324" s="33" t="n"/>
      <c r="J324" s="33" t="n"/>
      <c r="K324" s="33" t="n"/>
      <c r="L324" s="33" t="n"/>
      <c r="N324" s="34">
        <f>IF($A324="",NA(),IF(C324&gt;0,D324/C324,0))</f>
        <v/>
      </c>
      <c r="O324" s="34">
        <f>IF($A324="",NA(),IF(E324&gt;0,F324/E324,0))</f>
        <v/>
      </c>
      <c r="P324" s="34">
        <f>IF($A324="",NA(),IF(K324+L324&gt;0,K324/(K324+L324),0.5))</f>
        <v/>
      </c>
      <c r="Q324" s="34">
        <f>IF($A324="",NA(),1-P324)</f>
        <v/>
      </c>
      <c r="R324" s="33">
        <f>IF($A324="",NA(),MAX(0,E324-F324)*IF(G324&gt;0,H324/G324,COMPAREC_PAD)*IF(I324&gt;0,J324/I324,VALIDOS_PAD))</f>
        <v/>
      </c>
      <c r="S324" s="34">
        <f>IF($A324="",NA(),IF(R324&gt;0,0.5-(K324-L324)/(2*R324),0))</f>
        <v/>
      </c>
      <c r="T324" s="34">
        <f>IF($A324="",NA(),IF(R324&lt;=0,IF(K324&gt;L324,1,IF(K324&lt;L324,0,0.5)),1-NORMDIST(S324,P324+AJUSTE,SIGMA,TRUE)))</f>
        <v/>
      </c>
      <c r="U324" s="34">
        <f>IF($A324="",NA(),1-T324)</f>
        <v/>
      </c>
    </row>
    <row r="325">
      <c r="C325" s="33" t="n"/>
      <c r="D325" s="33" t="n"/>
      <c r="E325" s="33" t="n"/>
      <c r="F325" s="33" t="n"/>
      <c r="G325" s="33" t="n"/>
      <c r="H325" s="33" t="n"/>
      <c r="I325" s="33" t="n"/>
      <c r="J325" s="33" t="n"/>
      <c r="K325" s="33" t="n"/>
      <c r="L325" s="33" t="n"/>
      <c r="N325" s="34">
        <f>IF($A325="",NA(),IF(C325&gt;0,D325/C325,0))</f>
        <v/>
      </c>
      <c r="O325" s="34">
        <f>IF($A325="",NA(),IF(E325&gt;0,F325/E325,0))</f>
        <v/>
      </c>
      <c r="P325" s="34">
        <f>IF($A325="",NA(),IF(K325+L325&gt;0,K325/(K325+L325),0.5))</f>
        <v/>
      </c>
      <c r="Q325" s="34">
        <f>IF($A325="",NA(),1-P325)</f>
        <v/>
      </c>
      <c r="R325" s="33">
        <f>IF($A325="",NA(),MAX(0,E325-F325)*IF(G325&gt;0,H325/G325,COMPAREC_PAD)*IF(I325&gt;0,J325/I325,VALIDOS_PAD))</f>
        <v/>
      </c>
      <c r="S325" s="34">
        <f>IF($A325="",NA(),IF(R325&gt;0,0.5-(K325-L325)/(2*R325),0))</f>
        <v/>
      </c>
      <c r="T325" s="34">
        <f>IF($A325="",NA(),IF(R325&lt;=0,IF(K325&gt;L325,1,IF(K325&lt;L325,0,0.5)),1-NORMDIST(S325,P325+AJUSTE,SIGMA,TRUE)))</f>
        <v/>
      </c>
      <c r="U325" s="34">
        <f>IF($A325="",NA(),1-T325)</f>
        <v/>
      </c>
    </row>
    <row r="326">
      <c r="C326" s="33" t="n"/>
      <c r="D326" s="33" t="n"/>
      <c r="E326" s="33" t="n"/>
      <c r="F326" s="33" t="n"/>
      <c r="G326" s="33" t="n"/>
      <c r="H326" s="33" t="n"/>
      <c r="I326" s="33" t="n"/>
      <c r="J326" s="33" t="n"/>
      <c r="K326" s="33" t="n"/>
      <c r="L326" s="33" t="n"/>
      <c r="N326" s="34">
        <f>IF($A326="",NA(),IF(C326&gt;0,D326/C326,0))</f>
        <v/>
      </c>
      <c r="O326" s="34">
        <f>IF($A326="",NA(),IF(E326&gt;0,F326/E326,0))</f>
        <v/>
      </c>
      <c r="P326" s="34">
        <f>IF($A326="",NA(),IF(K326+L326&gt;0,K326/(K326+L326),0.5))</f>
        <v/>
      </c>
      <c r="Q326" s="34">
        <f>IF($A326="",NA(),1-P326)</f>
        <v/>
      </c>
      <c r="R326" s="33">
        <f>IF($A326="",NA(),MAX(0,E326-F326)*IF(G326&gt;0,H326/G326,COMPAREC_PAD)*IF(I326&gt;0,J326/I326,VALIDOS_PAD))</f>
        <v/>
      </c>
      <c r="S326" s="34">
        <f>IF($A326="",NA(),IF(R326&gt;0,0.5-(K326-L326)/(2*R326),0))</f>
        <v/>
      </c>
      <c r="T326" s="34">
        <f>IF($A326="",NA(),IF(R326&lt;=0,IF(K326&gt;L326,1,IF(K326&lt;L326,0,0.5)),1-NORMDIST(S326,P326+AJUSTE,SIGMA,TRUE)))</f>
        <v/>
      </c>
      <c r="U326" s="34">
        <f>IF($A326="",NA(),1-T326)</f>
        <v/>
      </c>
    </row>
    <row r="327">
      <c r="C327" s="33" t="n"/>
      <c r="D327" s="33" t="n"/>
      <c r="E327" s="33" t="n"/>
      <c r="F327" s="33" t="n"/>
      <c r="G327" s="33" t="n"/>
      <c r="H327" s="33" t="n"/>
      <c r="I327" s="33" t="n"/>
      <c r="J327" s="33" t="n"/>
      <c r="K327" s="33" t="n"/>
      <c r="L327" s="33" t="n"/>
      <c r="N327" s="34">
        <f>IF($A327="",NA(),IF(C327&gt;0,D327/C327,0))</f>
        <v/>
      </c>
      <c r="O327" s="34">
        <f>IF($A327="",NA(),IF(E327&gt;0,F327/E327,0))</f>
        <v/>
      </c>
      <c r="P327" s="34">
        <f>IF($A327="",NA(),IF(K327+L327&gt;0,K327/(K327+L327),0.5))</f>
        <v/>
      </c>
      <c r="Q327" s="34">
        <f>IF($A327="",NA(),1-P327)</f>
        <v/>
      </c>
      <c r="R327" s="33">
        <f>IF($A327="",NA(),MAX(0,E327-F327)*IF(G327&gt;0,H327/G327,COMPAREC_PAD)*IF(I327&gt;0,J327/I327,VALIDOS_PAD))</f>
        <v/>
      </c>
      <c r="S327" s="34">
        <f>IF($A327="",NA(),IF(R327&gt;0,0.5-(K327-L327)/(2*R327),0))</f>
        <v/>
      </c>
      <c r="T327" s="34">
        <f>IF($A327="",NA(),IF(R327&lt;=0,IF(K327&gt;L327,1,IF(K327&lt;L327,0,0.5)),1-NORMDIST(S327,P327+AJUSTE,SIGMA,TRUE)))</f>
        <v/>
      </c>
      <c r="U327" s="34">
        <f>IF($A327="",NA(),1-T327)</f>
        <v/>
      </c>
    </row>
    <row r="328">
      <c r="C328" s="33" t="n"/>
      <c r="D328" s="33" t="n"/>
      <c r="E328" s="33" t="n"/>
      <c r="F328" s="33" t="n"/>
      <c r="G328" s="33" t="n"/>
      <c r="H328" s="33" t="n"/>
      <c r="I328" s="33" t="n"/>
      <c r="J328" s="33" t="n"/>
      <c r="K328" s="33" t="n"/>
      <c r="L328" s="33" t="n"/>
      <c r="N328" s="34">
        <f>IF($A328="",NA(),IF(C328&gt;0,D328/C328,0))</f>
        <v/>
      </c>
      <c r="O328" s="34">
        <f>IF($A328="",NA(),IF(E328&gt;0,F328/E328,0))</f>
        <v/>
      </c>
      <c r="P328" s="34">
        <f>IF($A328="",NA(),IF(K328+L328&gt;0,K328/(K328+L328),0.5))</f>
        <v/>
      </c>
      <c r="Q328" s="34">
        <f>IF($A328="",NA(),1-P328)</f>
        <v/>
      </c>
      <c r="R328" s="33">
        <f>IF($A328="",NA(),MAX(0,E328-F328)*IF(G328&gt;0,H328/G328,COMPAREC_PAD)*IF(I328&gt;0,J328/I328,VALIDOS_PAD))</f>
        <v/>
      </c>
      <c r="S328" s="34">
        <f>IF($A328="",NA(),IF(R328&gt;0,0.5-(K328-L328)/(2*R328),0))</f>
        <v/>
      </c>
      <c r="T328" s="34">
        <f>IF($A328="",NA(),IF(R328&lt;=0,IF(K328&gt;L328,1,IF(K328&lt;L328,0,0.5)),1-NORMDIST(S328,P328+AJUSTE,SIGMA,TRUE)))</f>
        <v/>
      </c>
      <c r="U328" s="34">
        <f>IF($A328="",NA(),1-T328)</f>
        <v/>
      </c>
    </row>
    <row r="329"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3" t="n"/>
      <c r="N329" s="34">
        <f>IF($A329="",NA(),IF(C329&gt;0,D329/C329,0))</f>
        <v/>
      </c>
      <c r="O329" s="34">
        <f>IF($A329="",NA(),IF(E329&gt;0,F329/E329,0))</f>
        <v/>
      </c>
      <c r="P329" s="34">
        <f>IF($A329="",NA(),IF(K329+L329&gt;0,K329/(K329+L329),0.5))</f>
        <v/>
      </c>
      <c r="Q329" s="34">
        <f>IF($A329="",NA(),1-P329)</f>
        <v/>
      </c>
      <c r="R329" s="33">
        <f>IF($A329="",NA(),MAX(0,E329-F329)*IF(G329&gt;0,H329/G329,COMPAREC_PAD)*IF(I329&gt;0,J329/I329,VALIDOS_PAD))</f>
        <v/>
      </c>
      <c r="S329" s="34">
        <f>IF($A329="",NA(),IF(R329&gt;0,0.5-(K329-L329)/(2*R329),0))</f>
        <v/>
      </c>
      <c r="T329" s="34">
        <f>IF($A329="",NA(),IF(R329&lt;=0,IF(K329&gt;L329,1,IF(K329&lt;L329,0,0.5)),1-NORMDIST(S329,P329+AJUSTE,SIGMA,TRUE)))</f>
        <v/>
      </c>
      <c r="U329" s="34">
        <f>IF($A329="",NA(),1-T329)</f>
        <v/>
      </c>
    </row>
    <row r="330"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  <c r="N330" s="34">
        <f>IF($A330="",NA(),IF(C330&gt;0,D330/C330,0))</f>
        <v/>
      </c>
      <c r="O330" s="34">
        <f>IF($A330="",NA(),IF(E330&gt;0,F330/E330,0))</f>
        <v/>
      </c>
      <c r="P330" s="34">
        <f>IF($A330="",NA(),IF(K330+L330&gt;0,K330/(K330+L330),0.5))</f>
        <v/>
      </c>
      <c r="Q330" s="34">
        <f>IF($A330="",NA(),1-P330)</f>
        <v/>
      </c>
      <c r="R330" s="33">
        <f>IF($A330="",NA(),MAX(0,E330-F330)*IF(G330&gt;0,H330/G330,COMPAREC_PAD)*IF(I330&gt;0,J330/I330,VALIDOS_PAD))</f>
        <v/>
      </c>
      <c r="S330" s="34">
        <f>IF($A330="",NA(),IF(R330&gt;0,0.5-(K330-L330)/(2*R330),0))</f>
        <v/>
      </c>
      <c r="T330" s="34">
        <f>IF($A330="",NA(),IF(R330&lt;=0,IF(K330&gt;L330,1,IF(K330&lt;L330,0,0.5)),1-NORMDIST(S330,P330+AJUSTE,SIGMA,TRUE)))</f>
        <v/>
      </c>
      <c r="U330" s="34">
        <f>IF($A330="",NA(),1-T330)</f>
        <v/>
      </c>
    </row>
    <row r="331">
      <c r="C331" s="33" t="n"/>
      <c r="D331" s="33" t="n"/>
      <c r="E331" s="33" t="n"/>
      <c r="F331" s="33" t="n"/>
      <c r="G331" s="33" t="n"/>
      <c r="H331" s="33" t="n"/>
      <c r="I331" s="33" t="n"/>
      <c r="J331" s="33" t="n"/>
      <c r="K331" s="33" t="n"/>
      <c r="L331" s="33" t="n"/>
      <c r="N331" s="34">
        <f>IF($A331="",NA(),IF(C331&gt;0,D331/C331,0))</f>
        <v/>
      </c>
      <c r="O331" s="34">
        <f>IF($A331="",NA(),IF(E331&gt;0,F331/E331,0))</f>
        <v/>
      </c>
      <c r="P331" s="34">
        <f>IF($A331="",NA(),IF(K331+L331&gt;0,K331/(K331+L331),0.5))</f>
        <v/>
      </c>
      <c r="Q331" s="34">
        <f>IF($A331="",NA(),1-P331)</f>
        <v/>
      </c>
      <c r="R331" s="33">
        <f>IF($A331="",NA(),MAX(0,E331-F331)*IF(G331&gt;0,H331/G331,COMPAREC_PAD)*IF(I331&gt;0,J331/I331,VALIDOS_PAD))</f>
        <v/>
      </c>
      <c r="S331" s="34">
        <f>IF($A331="",NA(),IF(R331&gt;0,0.5-(K331-L331)/(2*R331),0))</f>
        <v/>
      </c>
      <c r="T331" s="34">
        <f>IF($A331="",NA(),IF(R331&lt;=0,IF(K331&gt;L331,1,IF(K331&lt;L331,0,0.5)),1-NORMDIST(S331,P331+AJUSTE,SIGMA,TRUE)))</f>
        <v/>
      </c>
      <c r="U331" s="34">
        <f>IF($A331="",NA(),1-T331)</f>
        <v/>
      </c>
    </row>
    <row r="332">
      <c r="C332" s="33" t="n"/>
      <c r="D332" s="33" t="n"/>
      <c r="E332" s="33" t="n"/>
      <c r="F332" s="33" t="n"/>
      <c r="G332" s="33" t="n"/>
      <c r="H332" s="33" t="n"/>
      <c r="I332" s="33" t="n"/>
      <c r="J332" s="33" t="n"/>
      <c r="K332" s="33" t="n"/>
      <c r="L332" s="33" t="n"/>
      <c r="N332" s="34">
        <f>IF($A332="",NA(),IF(C332&gt;0,D332/C332,0))</f>
        <v/>
      </c>
      <c r="O332" s="34">
        <f>IF($A332="",NA(),IF(E332&gt;0,F332/E332,0))</f>
        <v/>
      </c>
      <c r="P332" s="34">
        <f>IF($A332="",NA(),IF(K332+L332&gt;0,K332/(K332+L332),0.5))</f>
        <v/>
      </c>
      <c r="Q332" s="34">
        <f>IF($A332="",NA(),1-P332)</f>
        <v/>
      </c>
      <c r="R332" s="33">
        <f>IF($A332="",NA(),MAX(0,E332-F332)*IF(G332&gt;0,H332/G332,COMPAREC_PAD)*IF(I332&gt;0,J332/I332,VALIDOS_PAD))</f>
        <v/>
      </c>
      <c r="S332" s="34">
        <f>IF($A332="",NA(),IF(R332&gt;0,0.5-(K332-L332)/(2*R332),0))</f>
        <v/>
      </c>
      <c r="T332" s="34">
        <f>IF($A332="",NA(),IF(R332&lt;=0,IF(K332&gt;L332,1,IF(K332&lt;L332,0,0.5)),1-NORMDIST(S332,P332+AJUSTE,SIGMA,TRUE)))</f>
        <v/>
      </c>
      <c r="U332" s="34">
        <f>IF($A332="",NA(),1-T332)</f>
        <v/>
      </c>
    </row>
    <row r="333">
      <c r="C333" s="33" t="n"/>
      <c r="D333" s="33" t="n"/>
      <c r="E333" s="33" t="n"/>
      <c r="F333" s="33" t="n"/>
      <c r="G333" s="33" t="n"/>
      <c r="H333" s="33" t="n"/>
      <c r="I333" s="33" t="n"/>
      <c r="J333" s="33" t="n"/>
      <c r="K333" s="33" t="n"/>
      <c r="L333" s="33" t="n"/>
      <c r="N333" s="34">
        <f>IF($A333="",NA(),IF(C333&gt;0,D333/C333,0))</f>
        <v/>
      </c>
      <c r="O333" s="34">
        <f>IF($A333="",NA(),IF(E333&gt;0,F333/E333,0))</f>
        <v/>
      </c>
      <c r="P333" s="34">
        <f>IF($A333="",NA(),IF(K333+L333&gt;0,K333/(K333+L333),0.5))</f>
        <v/>
      </c>
      <c r="Q333" s="34">
        <f>IF($A333="",NA(),1-P333)</f>
        <v/>
      </c>
      <c r="R333" s="33">
        <f>IF($A333="",NA(),MAX(0,E333-F333)*IF(G333&gt;0,H333/G333,COMPAREC_PAD)*IF(I333&gt;0,J333/I333,VALIDOS_PAD))</f>
        <v/>
      </c>
      <c r="S333" s="34">
        <f>IF($A333="",NA(),IF(R333&gt;0,0.5-(K333-L333)/(2*R333),0))</f>
        <v/>
      </c>
      <c r="T333" s="34">
        <f>IF($A333="",NA(),IF(R333&lt;=0,IF(K333&gt;L333,1,IF(K333&lt;L333,0,0.5)),1-NORMDIST(S333,P333+AJUSTE,SIGMA,TRUE)))</f>
        <v/>
      </c>
      <c r="U333" s="34">
        <f>IF($A333="",NA(),1-T333)</f>
        <v/>
      </c>
    </row>
    <row r="334"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N334" s="34">
        <f>IF($A334="",NA(),IF(C334&gt;0,D334/C334,0))</f>
        <v/>
      </c>
      <c r="O334" s="34">
        <f>IF($A334="",NA(),IF(E334&gt;0,F334/E334,0))</f>
        <v/>
      </c>
      <c r="P334" s="34">
        <f>IF($A334="",NA(),IF(K334+L334&gt;0,K334/(K334+L334),0.5))</f>
        <v/>
      </c>
      <c r="Q334" s="34">
        <f>IF($A334="",NA(),1-P334)</f>
        <v/>
      </c>
      <c r="R334" s="33">
        <f>IF($A334="",NA(),MAX(0,E334-F334)*IF(G334&gt;0,H334/G334,COMPAREC_PAD)*IF(I334&gt;0,J334/I334,VALIDOS_PAD))</f>
        <v/>
      </c>
      <c r="S334" s="34">
        <f>IF($A334="",NA(),IF(R334&gt;0,0.5-(K334-L334)/(2*R334),0))</f>
        <v/>
      </c>
      <c r="T334" s="34">
        <f>IF($A334="",NA(),IF(R334&lt;=0,IF(K334&gt;L334,1,IF(K334&lt;L334,0,0.5)),1-NORMDIST(S334,P334+AJUSTE,SIGMA,TRUE)))</f>
        <v/>
      </c>
      <c r="U334" s="34">
        <f>IF($A334="",NA(),1-T334)</f>
        <v/>
      </c>
    </row>
    <row r="335"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N335" s="34">
        <f>IF($A335="",NA(),IF(C335&gt;0,D335/C335,0))</f>
        <v/>
      </c>
      <c r="O335" s="34">
        <f>IF($A335="",NA(),IF(E335&gt;0,F335/E335,0))</f>
        <v/>
      </c>
      <c r="P335" s="34">
        <f>IF($A335="",NA(),IF(K335+L335&gt;0,K335/(K335+L335),0.5))</f>
        <v/>
      </c>
      <c r="Q335" s="34">
        <f>IF($A335="",NA(),1-P335)</f>
        <v/>
      </c>
      <c r="R335" s="33">
        <f>IF($A335="",NA(),MAX(0,E335-F335)*IF(G335&gt;0,H335/G335,COMPAREC_PAD)*IF(I335&gt;0,J335/I335,VALIDOS_PAD))</f>
        <v/>
      </c>
      <c r="S335" s="34">
        <f>IF($A335="",NA(),IF(R335&gt;0,0.5-(K335-L335)/(2*R335),0))</f>
        <v/>
      </c>
      <c r="T335" s="34">
        <f>IF($A335="",NA(),IF(R335&lt;=0,IF(K335&gt;L335,1,IF(K335&lt;L335,0,0.5)),1-NORMDIST(S335,P335+AJUSTE,SIGMA,TRUE)))</f>
        <v/>
      </c>
      <c r="U335" s="34">
        <f>IF($A335="",NA(),1-T335)</f>
        <v/>
      </c>
    </row>
    <row r="336">
      <c r="C336" s="33" t="n"/>
      <c r="D336" s="33" t="n"/>
      <c r="E336" s="33" t="n"/>
      <c r="F336" s="33" t="n"/>
      <c r="G336" s="33" t="n"/>
      <c r="H336" s="33" t="n"/>
      <c r="I336" s="33" t="n"/>
      <c r="J336" s="33" t="n"/>
      <c r="K336" s="33" t="n"/>
      <c r="L336" s="33" t="n"/>
      <c r="N336" s="34">
        <f>IF($A336="",NA(),IF(C336&gt;0,D336/C336,0))</f>
        <v/>
      </c>
      <c r="O336" s="34">
        <f>IF($A336="",NA(),IF(E336&gt;0,F336/E336,0))</f>
        <v/>
      </c>
      <c r="P336" s="34">
        <f>IF($A336="",NA(),IF(K336+L336&gt;0,K336/(K336+L336),0.5))</f>
        <v/>
      </c>
      <c r="Q336" s="34">
        <f>IF($A336="",NA(),1-P336)</f>
        <v/>
      </c>
      <c r="R336" s="33">
        <f>IF($A336="",NA(),MAX(0,E336-F336)*IF(G336&gt;0,H336/G336,COMPAREC_PAD)*IF(I336&gt;0,J336/I336,VALIDOS_PAD))</f>
        <v/>
      </c>
      <c r="S336" s="34">
        <f>IF($A336="",NA(),IF(R336&gt;0,0.5-(K336-L336)/(2*R336),0))</f>
        <v/>
      </c>
      <c r="T336" s="34">
        <f>IF($A336="",NA(),IF(R336&lt;=0,IF(K336&gt;L336,1,IF(K336&lt;L336,0,0.5)),1-NORMDIST(S336,P336+AJUSTE,SIGMA,TRUE)))</f>
        <v/>
      </c>
      <c r="U336" s="34">
        <f>IF($A336="",NA(),1-T336)</f>
        <v/>
      </c>
    </row>
    <row r="337">
      <c r="C337" s="33" t="n"/>
      <c r="D337" s="33" t="n"/>
      <c r="E337" s="33" t="n"/>
      <c r="F337" s="33" t="n"/>
      <c r="G337" s="33" t="n"/>
      <c r="H337" s="33" t="n"/>
      <c r="I337" s="33" t="n"/>
      <c r="J337" s="33" t="n"/>
      <c r="K337" s="33" t="n"/>
      <c r="L337" s="33" t="n"/>
      <c r="N337" s="34">
        <f>IF($A337="",NA(),IF(C337&gt;0,D337/C337,0))</f>
        <v/>
      </c>
      <c r="O337" s="34">
        <f>IF($A337="",NA(),IF(E337&gt;0,F337/E337,0))</f>
        <v/>
      </c>
      <c r="P337" s="34">
        <f>IF($A337="",NA(),IF(K337+L337&gt;0,K337/(K337+L337),0.5))</f>
        <v/>
      </c>
      <c r="Q337" s="34">
        <f>IF($A337="",NA(),1-P337)</f>
        <v/>
      </c>
      <c r="R337" s="33">
        <f>IF($A337="",NA(),MAX(0,E337-F337)*IF(G337&gt;0,H337/G337,COMPAREC_PAD)*IF(I337&gt;0,J337/I337,VALIDOS_PAD))</f>
        <v/>
      </c>
      <c r="S337" s="34">
        <f>IF($A337="",NA(),IF(R337&gt;0,0.5-(K337-L337)/(2*R337),0))</f>
        <v/>
      </c>
      <c r="T337" s="34">
        <f>IF($A337="",NA(),IF(R337&lt;=0,IF(K337&gt;L337,1,IF(K337&lt;L337,0,0.5)),1-NORMDIST(S337,P337+AJUSTE,SIGMA,TRUE)))</f>
        <v/>
      </c>
      <c r="U337" s="34">
        <f>IF($A337="",NA(),1-T337)</f>
        <v/>
      </c>
    </row>
    <row r="338">
      <c r="C338" s="33" t="n"/>
      <c r="D338" s="33" t="n"/>
      <c r="E338" s="33" t="n"/>
      <c r="F338" s="33" t="n"/>
      <c r="G338" s="33" t="n"/>
      <c r="H338" s="33" t="n"/>
      <c r="I338" s="33" t="n"/>
      <c r="J338" s="33" t="n"/>
      <c r="K338" s="33" t="n"/>
      <c r="L338" s="33" t="n"/>
      <c r="N338" s="34">
        <f>IF($A338="",NA(),IF(C338&gt;0,D338/C338,0))</f>
        <v/>
      </c>
      <c r="O338" s="34">
        <f>IF($A338="",NA(),IF(E338&gt;0,F338/E338,0))</f>
        <v/>
      </c>
      <c r="P338" s="34">
        <f>IF($A338="",NA(),IF(K338+L338&gt;0,K338/(K338+L338),0.5))</f>
        <v/>
      </c>
      <c r="Q338" s="34">
        <f>IF($A338="",NA(),1-P338)</f>
        <v/>
      </c>
      <c r="R338" s="33">
        <f>IF($A338="",NA(),MAX(0,E338-F338)*IF(G338&gt;0,H338/G338,COMPAREC_PAD)*IF(I338&gt;0,J338/I338,VALIDOS_PAD))</f>
        <v/>
      </c>
      <c r="S338" s="34">
        <f>IF($A338="",NA(),IF(R338&gt;0,0.5-(K338-L338)/(2*R338),0))</f>
        <v/>
      </c>
      <c r="T338" s="34">
        <f>IF($A338="",NA(),IF(R338&lt;=0,IF(K338&gt;L338,1,IF(K338&lt;L338,0,0.5)),1-NORMDIST(S338,P338+AJUSTE,SIGMA,TRUE)))</f>
        <v/>
      </c>
      <c r="U338" s="34">
        <f>IF($A338="",NA(),1-T338)</f>
        <v/>
      </c>
    </row>
    <row r="339"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N339" s="34">
        <f>IF($A339="",NA(),IF(C339&gt;0,D339/C339,0))</f>
        <v/>
      </c>
      <c r="O339" s="34">
        <f>IF($A339="",NA(),IF(E339&gt;0,F339/E339,0))</f>
        <v/>
      </c>
      <c r="P339" s="34">
        <f>IF($A339="",NA(),IF(K339+L339&gt;0,K339/(K339+L339),0.5))</f>
        <v/>
      </c>
      <c r="Q339" s="34">
        <f>IF($A339="",NA(),1-P339)</f>
        <v/>
      </c>
      <c r="R339" s="33">
        <f>IF($A339="",NA(),MAX(0,E339-F339)*IF(G339&gt;0,H339/G339,COMPAREC_PAD)*IF(I339&gt;0,J339/I339,VALIDOS_PAD))</f>
        <v/>
      </c>
      <c r="S339" s="34">
        <f>IF($A339="",NA(),IF(R339&gt;0,0.5-(K339-L339)/(2*R339),0))</f>
        <v/>
      </c>
      <c r="T339" s="34">
        <f>IF($A339="",NA(),IF(R339&lt;=0,IF(K339&gt;L339,1,IF(K339&lt;L339,0,0.5)),1-NORMDIST(S339,P339+AJUSTE,SIGMA,TRUE)))</f>
        <v/>
      </c>
      <c r="U339" s="34">
        <f>IF($A339="",NA(),1-T339)</f>
        <v/>
      </c>
    </row>
    <row r="340"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N340" s="34">
        <f>IF($A340="",NA(),IF(C340&gt;0,D340/C340,0))</f>
        <v/>
      </c>
      <c r="O340" s="34">
        <f>IF($A340="",NA(),IF(E340&gt;0,F340/E340,0))</f>
        <v/>
      </c>
      <c r="P340" s="34">
        <f>IF($A340="",NA(),IF(K340+L340&gt;0,K340/(K340+L340),0.5))</f>
        <v/>
      </c>
      <c r="Q340" s="34">
        <f>IF($A340="",NA(),1-P340)</f>
        <v/>
      </c>
      <c r="R340" s="33">
        <f>IF($A340="",NA(),MAX(0,E340-F340)*IF(G340&gt;0,H340/G340,COMPAREC_PAD)*IF(I340&gt;0,J340/I340,VALIDOS_PAD))</f>
        <v/>
      </c>
      <c r="S340" s="34">
        <f>IF($A340="",NA(),IF(R340&gt;0,0.5-(K340-L340)/(2*R340),0))</f>
        <v/>
      </c>
      <c r="T340" s="34">
        <f>IF($A340="",NA(),IF(R340&lt;=0,IF(K340&gt;L340,1,IF(K340&lt;L340,0,0.5)),1-NORMDIST(S340,P340+AJUSTE,SIGMA,TRUE)))</f>
        <v/>
      </c>
      <c r="U340" s="34">
        <f>IF($A340="",NA(),1-T340)</f>
        <v/>
      </c>
    </row>
    <row r="341"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3" t="n"/>
      <c r="N341" s="34">
        <f>IF($A341="",NA(),IF(C341&gt;0,D341/C341,0))</f>
        <v/>
      </c>
      <c r="O341" s="34">
        <f>IF($A341="",NA(),IF(E341&gt;0,F341/E341,0))</f>
        <v/>
      </c>
      <c r="P341" s="34">
        <f>IF($A341="",NA(),IF(K341+L341&gt;0,K341/(K341+L341),0.5))</f>
        <v/>
      </c>
      <c r="Q341" s="34">
        <f>IF($A341="",NA(),1-P341)</f>
        <v/>
      </c>
      <c r="R341" s="33">
        <f>IF($A341="",NA(),MAX(0,E341-F341)*IF(G341&gt;0,H341/G341,COMPAREC_PAD)*IF(I341&gt;0,J341/I341,VALIDOS_PAD))</f>
        <v/>
      </c>
      <c r="S341" s="34">
        <f>IF($A341="",NA(),IF(R341&gt;0,0.5-(K341-L341)/(2*R341),0))</f>
        <v/>
      </c>
      <c r="T341" s="34">
        <f>IF($A341="",NA(),IF(R341&lt;=0,IF(K341&gt;L341,1,IF(K341&lt;L341,0,0.5)),1-NORMDIST(S341,P341+AJUSTE,SIGMA,TRUE)))</f>
        <v/>
      </c>
      <c r="U341" s="34">
        <f>IF($A341="",NA(),1-T341)</f>
        <v/>
      </c>
    </row>
    <row r="342"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  <c r="N342" s="34">
        <f>IF($A342="",NA(),IF(C342&gt;0,D342/C342,0))</f>
        <v/>
      </c>
      <c r="O342" s="34">
        <f>IF($A342="",NA(),IF(E342&gt;0,F342/E342,0))</f>
        <v/>
      </c>
      <c r="P342" s="34">
        <f>IF($A342="",NA(),IF(K342+L342&gt;0,K342/(K342+L342),0.5))</f>
        <v/>
      </c>
      <c r="Q342" s="34">
        <f>IF($A342="",NA(),1-P342)</f>
        <v/>
      </c>
      <c r="R342" s="33">
        <f>IF($A342="",NA(),MAX(0,E342-F342)*IF(G342&gt;0,H342/G342,COMPAREC_PAD)*IF(I342&gt;0,J342/I342,VALIDOS_PAD))</f>
        <v/>
      </c>
      <c r="S342" s="34">
        <f>IF($A342="",NA(),IF(R342&gt;0,0.5-(K342-L342)/(2*R342),0))</f>
        <v/>
      </c>
      <c r="T342" s="34">
        <f>IF($A342="",NA(),IF(R342&lt;=0,IF(K342&gt;L342,1,IF(K342&lt;L342,0,0.5)),1-NORMDIST(S342,P342+AJUSTE,SIGMA,TRUE)))</f>
        <v/>
      </c>
      <c r="U342" s="34">
        <f>IF($A342="",NA(),1-T342)</f>
        <v/>
      </c>
    </row>
    <row r="343">
      <c r="C343" s="33" t="n"/>
      <c r="D343" s="33" t="n"/>
      <c r="E343" s="33" t="n"/>
      <c r="F343" s="33" t="n"/>
      <c r="G343" s="33" t="n"/>
      <c r="H343" s="33" t="n"/>
      <c r="I343" s="33" t="n"/>
      <c r="J343" s="33" t="n"/>
      <c r="K343" s="33" t="n"/>
      <c r="L343" s="33" t="n"/>
      <c r="N343" s="34">
        <f>IF($A343="",NA(),IF(C343&gt;0,D343/C343,0))</f>
        <v/>
      </c>
      <c r="O343" s="34">
        <f>IF($A343="",NA(),IF(E343&gt;0,F343/E343,0))</f>
        <v/>
      </c>
      <c r="P343" s="34">
        <f>IF($A343="",NA(),IF(K343+L343&gt;0,K343/(K343+L343),0.5))</f>
        <v/>
      </c>
      <c r="Q343" s="34">
        <f>IF($A343="",NA(),1-P343)</f>
        <v/>
      </c>
      <c r="R343" s="33">
        <f>IF($A343="",NA(),MAX(0,E343-F343)*IF(G343&gt;0,H343/G343,COMPAREC_PAD)*IF(I343&gt;0,J343/I343,VALIDOS_PAD))</f>
        <v/>
      </c>
      <c r="S343" s="34">
        <f>IF($A343="",NA(),IF(R343&gt;0,0.5-(K343-L343)/(2*R343),0))</f>
        <v/>
      </c>
      <c r="T343" s="34">
        <f>IF($A343="",NA(),IF(R343&lt;=0,IF(K343&gt;L343,1,IF(K343&lt;L343,0,0.5)),1-NORMDIST(S343,P343+AJUSTE,SIGMA,TRUE)))</f>
        <v/>
      </c>
      <c r="U343" s="34">
        <f>IF($A343="",NA(),1-T343)</f>
        <v/>
      </c>
    </row>
    <row r="344"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N344" s="34">
        <f>IF($A344="",NA(),IF(C344&gt;0,D344/C344,0))</f>
        <v/>
      </c>
      <c r="O344" s="34">
        <f>IF($A344="",NA(),IF(E344&gt;0,F344/E344,0))</f>
        <v/>
      </c>
      <c r="P344" s="34">
        <f>IF($A344="",NA(),IF(K344+L344&gt;0,K344/(K344+L344),0.5))</f>
        <v/>
      </c>
      <c r="Q344" s="34">
        <f>IF($A344="",NA(),1-P344)</f>
        <v/>
      </c>
      <c r="R344" s="33">
        <f>IF($A344="",NA(),MAX(0,E344-F344)*IF(G344&gt;0,H344/G344,COMPAREC_PAD)*IF(I344&gt;0,J344/I344,VALIDOS_PAD))</f>
        <v/>
      </c>
      <c r="S344" s="34">
        <f>IF($A344="",NA(),IF(R344&gt;0,0.5-(K344-L344)/(2*R344),0))</f>
        <v/>
      </c>
      <c r="T344" s="34">
        <f>IF($A344="",NA(),IF(R344&lt;=0,IF(K344&gt;L344,1,IF(K344&lt;L344,0,0.5)),1-NORMDIST(S344,P344+AJUSTE,SIGMA,TRUE)))</f>
        <v/>
      </c>
      <c r="U344" s="34">
        <f>IF($A344="",NA(),1-T344)</f>
        <v/>
      </c>
    </row>
    <row r="345"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N345" s="34">
        <f>IF($A345="",NA(),IF(C345&gt;0,D345/C345,0))</f>
        <v/>
      </c>
      <c r="O345" s="34">
        <f>IF($A345="",NA(),IF(E345&gt;0,F345/E345,0))</f>
        <v/>
      </c>
      <c r="P345" s="34">
        <f>IF($A345="",NA(),IF(K345+L345&gt;0,K345/(K345+L345),0.5))</f>
        <v/>
      </c>
      <c r="Q345" s="34">
        <f>IF($A345="",NA(),1-P345)</f>
        <v/>
      </c>
      <c r="R345" s="33">
        <f>IF($A345="",NA(),MAX(0,E345-F345)*IF(G345&gt;0,H345/G345,COMPAREC_PAD)*IF(I345&gt;0,J345/I345,VALIDOS_PAD))</f>
        <v/>
      </c>
      <c r="S345" s="34">
        <f>IF($A345="",NA(),IF(R345&gt;0,0.5-(K345-L345)/(2*R345),0))</f>
        <v/>
      </c>
      <c r="T345" s="34">
        <f>IF($A345="",NA(),IF(R345&lt;=0,IF(K345&gt;L345,1,IF(K345&lt;L345,0,0.5)),1-NORMDIST(S345,P345+AJUSTE,SIGMA,TRUE)))</f>
        <v/>
      </c>
      <c r="U345" s="34">
        <f>IF($A345="",NA(),1-T345)</f>
        <v/>
      </c>
    </row>
    <row r="346"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  <c r="N346" s="34">
        <f>IF($A346="",NA(),IF(C346&gt;0,D346/C346,0))</f>
        <v/>
      </c>
      <c r="O346" s="34">
        <f>IF($A346="",NA(),IF(E346&gt;0,F346/E346,0))</f>
        <v/>
      </c>
      <c r="P346" s="34">
        <f>IF($A346="",NA(),IF(K346+L346&gt;0,K346/(K346+L346),0.5))</f>
        <v/>
      </c>
      <c r="Q346" s="34">
        <f>IF($A346="",NA(),1-P346)</f>
        <v/>
      </c>
      <c r="R346" s="33">
        <f>IF($A346="",NA(),MAX(0,E346-F346)*IF(G346&gt;0,H346/G346,COMPAREC_PAD)*IF(I346&gt;0,J346/I346,VALIDOS_PAD))</f>
        <v/>
      </c>
      <c r="S346" s="34">
        <f>IF($A346="",NA(),IF(R346&gt;0,0.5-(K346-L346)/(2*R346),0))</f>
        <v/>
      </c>
      <c r="T346" s="34">
        <f>IF($A346="",NA(),IF(R346&lt;=0,IF(K346&gt;L346,1,IF(K346&lt;L346,0,0.5)),1-NORMDIST(S346,P346+AJUSTE,SIGMA,TRUE)))</f>
        <v/>
      </c>
      <c r="U346" s="34">
        <f>IF($A346="",NA(),1-T346)</f>
        <v/>
      </c>
    </row>
    <row r="347"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3" t="n"/>
      <c r="N347" s="34">
        <f>IF($A347="",NA(),IF(C347&gt;0,D347/C347,0))</f>
        <v/>
      </c>
      <c r="O347" s="34">
        <f>IF($A347="",NA(),IF(E347&gt;0,F347/E347,0))</f>
        <v/>
      </c>
      <c r="P347" s="34">
        <f>IF($A347="",NA(),IF(K347+L347&gt;0,K347/(K347+L347),0.5))</f>
        <v/>
      </c>
      <c r="Q347" s="34">
        <f>IF($A347="",NA(),1-P347)</f>
        <v/>
      </c>
      <c r="R347" s="33">
        <f>IF($A347="",NA(),MAX(0,E347-F347)*IF(G347&gt;0,H347/G347,COMPAREC_PAD)*IF(I347&gt;0,J347/I347,VALIDOS_PAD))</f>
        <v/>
      </c>
      <c r="S347" s="34">
        <f>IF($A347="",NA(),IF(R347&gt;0,0.5-(K347-L347)/(2*R347),0))</f>
        <v/>
      </c>
      <c r="T347" s="34">
        <f>IF($A347="",NA(),IF(R347&lt;=0,IF(K347&gt;L347,1,IF(K347&lt;L347,0,0.5)),1-NORMDIST(S347,P347+AJUSTE,SIGMA,TRUE)))</f>
        <v/>
      </c>
      <c r="U347" s="34">
        <f>IF($A347="",NA(),1-T347)</f>
        <v/>
      </c>
    </row>
    <row r="348"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N348" s="34">
        <f>IF($A348="",NA(),IF(C348&gt;0,D348/C348,0))</f>
        <v/>
      </c>
      <c r="O348" s="34">
        <f>IF($A348="",NA(),IF(E348&gt;0,F348/E348,0))</f>
        <v/>
      </c>
      <c r="P348" s="34">
        <f>IF($A348="",NA(),IF(K348+L348&gt;0,K348/(K348+L348),0.5))</f>
        <v/>
      </c>
      <c r="Q348" s="34">
        <f>IF($A348="",NA(),1-P348)</f>
        <v/>
      </c>
      <c r="R348" s="33">
        <f>IF($A348="",NA(),MAX(0,E348-F348)*IF(G348&gt;0,H348/G348,COMPAREC_PAD)*IF(I348&gt;0,J348/I348,VALIDOS_PAD))</f>
        <v/>
      </c>
      <c r="S348" s="34">
        <f>IF($A348="",NA(),IF(R348&gt;0,0.5-(K348-L348)/(2*R348),0))</f>
        <v/>
      </c>
      <c r="T348" s="34">
        <f>IF($A348="",NA(),IF(R348&lt;=0,IF(K348&gt;L348,1,IF(K348&lt;L348,0,0.5)),1-NORMDIST(S348,P348+AJUSTE,SIGMA,TRUE)))</f>
        <v/>
      </c>
      <c r="U348" s="34">
        <f>IF($A348="",NA(),1-T348)</f>
        <v/>
      </c>
    </row>
    <row r="349"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N349" s="34">
        <f>IF($A349="",NA(),IF(C349&gt;0,D349/C349,0))</f>
        <v/>
      </c>
      <c r="O349" s="34">
        <f>IF($A349="",NA(),IF(E349&gt;0,F349/E349,0))</f>
        <v/>
      </c>
      <c r="P349" s="34">
        <f>IF($A349="",NA(),IF(K349+L349&gt;0,K349/(K349+L349),0.5))</f>
        <v/>
      </c>
      <c r="Q349" s="34">
        <f>IF($A349="",NA(),1-P349)</f>
        <v/>
      </c>
      <c r="R349" s="33">
        <f>IF($A349="",NA(),MAX(0,E349-F349)*IF(G349&gt;0,H349/G349,COMPAREC_PAD)*IF(I349&gt;0,J349/I349,VALIDOS_PAD))</f>
        <v/>
      </c>
      <c r="S349" s="34">
        <f>IF($A349="",NA(),IF(R349&gt;0,0.5-(K349-L349)/(2*R349),0))</f>
        <v/>
      </c>
      <c r="T349" s="34">
        <f>IF($A349="",NA(),IF(R349&lt;=0,IF(K349&gt;L349,1,IF(K349&lt;L349,0,0.5)),1-NORMDIST(S349,P349+AJUSTE,SIGMA,TRUE)))</f>
        <v/>
      </c>
      <c r="U349" s="34">
        <f>IF($A349="",NA(),1-T349)</f>
        <v/>
      </c>
    </row>
    <row r="350">
      <c r="C350" s="33" t="n"/>
      <c r="D350" s="33" t="n"/>
      <c r="E350" s="33" t="n"/>
      <c r="F350" s="33" t="n"/>
      <c r="G350" s="33" t="n"/>
      <c r="H350" s="33" t="n"/>
      <c r="I350" s="33" t="n"/>
      <c r="J350" s="33" t="n"/>
      <c r="K350" s="33" t="n"/>
      <c r="L350" s="33" t="n"/>
      <c r="N350" s="34">
        <f>IF($A350="",NA(),IF(C350&gt;0,D350/C350,0))</f>
        <v/>
      </c>
      <c r="O350" s="34">
        <f>IF($A350="",NA(),IF(E350&gt;0,F350/E350,0))</f>
        <v/>
      </c>
      <c r="P350" s="34">
        <f>IF($A350="",NA(),IF(K350+L350&gt;0,K350/(K350+L350),0.5))</f>
        <v/>
      </c>
      <c r="Q350" s="34">
        <f>IF($A350="",NA(),1-P350)</f>
        <v/>
      </c>
      <c r="R350" s="33">
        <f>IF($A350="",NA(),MAX(0,E350-F350)*IF(G350&gt;0,H350/G350,COMPAREC_PAD)*IF(I350&gt;0,J350/I350,VALIDOS_PAD))</f>
        <v/>
      </c>
      <c r="S350" s="34">
        <f>IF($A350="",NA(),IF(R350&gt;0,0.5-(K350-L350)/(2*R350),0))</f>
        <v/>
      </c>
      <c r="T350" s="34">
        <f>IF($A350="",NA(),IF(R350&lt;=0,IF(K350&gt;L350,1,IF(K350&lt;L350,0,0.5)),1-NORMDIST(S350,P350+AJUSTE,SIGMA,TRUE)))</f>
        <v/>
      </c>
      <c r="U350" s="34">
        <f>IF($A350="",NA(),1-T350)</f>
        <v/>
      </c>
    </row>
    <row r="351"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  <c r="N351" s="34">
        <f>IF($A351="",NA(),IF(C351&gt;0,D351/C351,0))</f>
        <v/>
      </c>
      <c r="O351" s="34">
        <f>IF($A351="",NA(),IF(E351&gt;0,F351/E351,0))</f>
        <v/>
      </c>
      <c r="P351" s="34">
        <f>IF($A351="",NA(),IF(K351+L351&gt;0,K351/(K351+L351),0.5))</f>
        <v/>
      </c>
      <c r="Q351" s="34">
        <f>IF($A351="",NA(),1-P351)</f>
        <v/>
      </c>
      <c r="R351" s="33">
        <f>IF($A351="",NA(),MAX(0,E351-F351)*IF(G351&gt;0,H351/G351,COMPAREC_PAD)*IF(I351&gt;0,J351/I351,VALIDOS_PAD))</f>
        <v/>
      </c>
      <c r="S351" s="34">
        <f>IF($A351="",NA(),IF(R351&gt;0,0.5-(K351-L351)/(2*R351),0))</f>
        <v/>
      </c>
      <c r="T351" s="34">
        <f>IF($A351="",NA(),IF(R351&lt;=0,IF(K351&gt;L351,1,IF(K351&lt;L351,0,0.5)),1-NORMDIST(S351,P351+AJUSTE,SIGMA,TRUE)))</f>
        <v/>
      </c>
      <c r="U351" s="34">
        <f>IF($A351="",NA(),1-T351)</f>
        <v/>
      </c>
    </row>
    <row r="352"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  <c r="N352" s="34">
        <f>IF($A352="",NA(),IF(C352&gt;0,D352/C352,0))</f>
        <v/>
      </c>
      <c r="O352" s="34">
        <f>IF($A352="",NA(),IF(E352&gt;0,F352/E352,0))</f>
        <v/>
      </c>
      <c r="P352" s="34">
        <f>IF($A352="",NA(),IF(K352+L352&gt;0,K352/(K352+L352),0.5))</f>
        <v/>
      </c>
      <c r="Q352" s="34">
        <f>IF($A352="",NA(),1-P352)</f>
        <v/>
      </c>
      <c r="R352" s="33">
        <f>IF($A352="",NA(),MAX(0,E352-F352)*IF(G352&gt;0,H352/G352,COMPAREC_PAD)*IF(I352&gt;0,J352/I352,VALIDOS_PAD))</f>
        <v/>
      </c>
      <c r="S352" s="34">
        <f>IF($A352="",NA(),IF(R352&gt;0,0.5-(K352-L352)/(2*R352),0))</f>
        <v/>
      </c>
      <c r="T352" s="34">
        <f>IF($A352="",NA(),IF(R352&lt;=0,IF(K352&gt;L352,1,IF(K352&lt;L352,0,0.5)),1-NORMDIST(S352,P352+AJUSTE,SIGMA,TRUE)))</f>
        <v/>
      </c>
      <c r="U352" s="34">
        <f>IF($A352="",NA(),1-T352)</f>
        <v/>
      </c>
    </row>
    <row r="353">
      <c r="C353" s="33" t="n"/>
      <c r="D353" s="33" t="n"/>
      <c r="E353" s="33" t="n"/>
      <c r="F353" s="33" t="n"/>
      <c r="G353" s="33" t="n"/>
      <c r="H353" s="33" t="n"/>
      <c r="I353" s="33" t="n"/>
      <c r="J353" s="33" t="n"/>
      <c r="K353" s="33" t="n"/>
      <c r="L353" s="33" t="n"/>
      <c r="N353" s="34">
        <f>IF($A353="",NA(),IF(C353&gt;0,D353/C353,0))</f>
        <v/>
      </c>
      <c r="O353" s="34">
        <f>IF($A353="",NA(),IF(E353&gt;0,F353/E353,0))</f>
        <v/>
      </c>
      <c r="P353" s="34">
        <f>IF($A353="",NA(),IF(K353+L353&gt;0,K353/(K353+L353),0.5))</f>
        <v/>
      </c>
      <c r="Q353" s="34">
        <f>IF($A353="",NA(),1-P353)</f>
        <v/>
      </c>
      <c r="R353" s="33">
        <f>IF($A353="",NA(),MAX(0,E353-F353)*IF(G353&gt;0,H353/G353,COMPAREC_PAD)*IF(I353&gt;0,J353/I353,VALIDOS_PAD))</f>
        <v/>
      </c>
      <c r="S353" s="34">
        <f>IF($A353="",NA(),IF(R353&gt;0,0.5-(K353-L353)/(2*R353),0))</f>
        <v/>
      </c>
      <c r="T353" s="34">
        <f>IF($A353="",NA(),IF(R353&lt;=0,IF(K353&gt;L353,1,IF(K353&lt;L353,0,0.5)),1-NORMDIST(S353,P353+AJUSTE,SIGMA,TRUE)))</f>
        <v/>
      </c>
      <c r="U353" s="34">
        <f>IF($A353="",NA(),1-T353)</f>
        <v/>
      </c>
    </row>
    <row r="354"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N354" s="34">
        <f>IF($A354="",NA(),IF(C354&gt;0,D354/C354,0))</f>
        <v/>
      </c>
      <c r="O354" s="34">
        <f>IF($A354="",NA(),IF(E354&gt;0,F354/E354,0))</f>
        <v/>
      </c>
      <c r="P354" s="34">
        <f>IF($A354="",NA(),IF(K354+L354&gt;0,K354/(K354+L354),0.5))</f>
        <v/>
      </c>
      <c r="Q354" s="34">
        <f>IF($A354="",NA(),1-P354)</f>
        <v/>
      </c>
      <c r="R354" s="33">
        <f>IF($A354="",NA(),MAX(0,E354-F354)*IF(G354&gt;0,H354/G354,COMPAREC_PAD)*IF(I354&gt;0,J354/I354,VALIDOS_PAD))</f>
        <v/>
      </c>
      <c r="S354" s="34">
        <f>IF($A354="",NA(),IF(R354&gt;0,0.5-(K354-L354)/(2*R354),0))</f>
        <v/>
      </c>
      <c r="T354" s="34">
        <f>IF($A354="",NA(),IF(R354&lt;=0,IF(K354&gt;L354,1,IF(K354&lt;L354,0,0.5)),1-NORMDIST(S354,P354+AJUSTE,SIGMA,TRUE)))</f>
        <v/>
      </c>
      <c r="U354" s="34">
        <f>IF($A354="",NA(),1-T354)</f>
        <v/>
      </c>
    </row>
    <row r="355"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N355" s="34">
        <f>IF($A355="",NA(),IF(C355&gt;0,D355/C355,0))</f>
        <v/>
      </c>
      <c r="O355" s="34">
        <f>IF($A355="",NA(),IF(E355&gt;0,F355/E355,0))</f>
        <v/>
      </c>
      <c r="P355" s="34">
        <f>IF($A355="",NA(),IF(K355+L355&gt;0,K355/(K355+L355),0.5))</f>
        <v/>
      </c>
      <c r="Q355" s="34">
        <f>IF($A355="",NA(),1-P355)</f>
        <v/>
      </c>
      <c r="R355" s="33">
        <f>IF($A355="",NA(),MAX(0,E355-F355)*IF(G355&gt;0,H355/G355,COMPAREC_PAD)*IF(I355&gt;0,J355/I355,VALIDOS_PAD))</f>
        <v/>
      </c>
      <c r="S355" s="34">
        <f>IF($A355="",NA(),IF(R355&gt;0,0.5-(K355-L355)/(2*R355),0))</f>
        <v/>
      </c>
      <c r="T355" s="34">
        <f>IF($A355="",NA(),IF(R355&lt;=0,IF(K355&gt;L355,1,IF(K355&lt;L355,0,0.5)),1-NORMDIST(S355,P355+AJUSTE,SIGMA,TRUE)))</f>
        <v/>
      </c>
      <c r="U355" s="34">
        <f>IF($A355="",NA(),1-T355)</f>
        <v/>
      </c>
    </row>
    <row r="356"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  <c r="N356" s="34">
        <f>IF($A356="",NA(),IF(C356&gt;0,D356/C356,0))</f>
        <v/>
      </c>
      <c r="O356" s="34">
        <f>IF($A356="",NA(),IF(E356&gt;0,F356/E356,0))</f>
        <v/>
      </c>
      <c r="P356" s="34">
        <f>IF($A356="",NA(),IF(K356+L356&gt;0,K356/(K356+L356),0.5))</f>
        <v/>
      </c>
      <c r="Q356" s="34">
        <f>IF($A356="",NA(),1-P356)</f>
        <v/>
      </c>
      <c r="R356" s="33">
        <f>IF($A356="",NA(),MAX(0,E356-F356)*IF(G356&gt;0,H356/G356,COMPAREC_PAD)*IF(I356&gt;0,J356/I356,VALIDOS_PAD))</f>
        <v/>
      </c>
      <c r="S356" s="34">
        <f>IF($A356="",NA(),IF(R356&gt;0,0.5-(K356-L356)/(2*R356),0))</f>
        <v/>
      </c>
      <c r="T356" s="34">
        <f>IF($A356="",NA(),IF(R356&lt;=0,IF(K356&gt;L356,1,IF(K356&lt;L356,0,0.5)),1-NORMDIST(S356,P356+AJUSTE,SIGMA,TRUE)))</f>
        <v/>
      </c>
      <c r="U356" s="34">
        <f>IF($A356="",NA(),1-T356)</f>
        <v/>
      </c>
    </row>
    <row r="357">
      <c r="C357" s="33" t="n"/>
      <c r="D357" s="33" t="n"/>
      <c r="E357" s="33" t="n"/>
      <c r="F357" s="33" t="n"/>
      <c r="G357" s="33" t="n"/>
      <c r="H357" s="33" t="n"/>
      <c r="I357" s="33" t="n"/>
      <c r="J357" s="33" t="n"/>
      <c r="K357" s="33" t="n"/>
      <c r="L357" s="33" t="n"/>
      <c r="N357" s="34">
        <f>IF($A357="",NA(),IF(C357&gt;0,D357/C357,0))</f>
        <v/>
      </c>
      <c r="O357" s="34">
        <f>IF($A357="",NA(),IF(E357&gt;0,F357/E357,0))</f>
        <v/>
      </c>
      <c r="P357" s="34">
        <f>IF($A357="",NA(),IF(K357+L357&gt;0,K357/(K357+L357),0.5))</f>
        <v/>
      </c>
      <c r="Q357" s="34">
        <f>IF($A357="",NA(),1-P357)</f>
        <v/>
      </c>
      <c r="R357" s="33">
        <f>IF($A357="",NA(),MAX(0,E357-F357)*IF(G357&gt;0,H357/G357,COMPAREC_PAD)*IF(I357&gt;0,J357/I357,VALIDOS_PAD))</f>
        <v/>
      </c>
      <c r="S357" s="34">
        <f>IF($A357="",NA(),IF(R357&gt;0,0.5-(K357-L357)/(2*R357),0))</f>
        <v/>
      </c>
      <c r="T357" s="34">
        <f>IF($A357="",NA(),IF(R357&lt;=0,IF(K357&gt;L357,1,IF(K357&lt;L357,0,0.5)),1-NORMDIST(S357,P357+AJUSTE,SIGMA,TRUE)))</f>
        <v/>
      </c>
      <c r="U357" s="34">
        <f>IF($A357="",NA(),1-T357)</f>
        <v/>
      </c>
    </row>
    <row r="358">
      <c r="C358" s="33" t="n"/>
      <c r="D358" s="33" t="n"/>
      <c r="E358" s="33" t="n"/>
      <c r="F358" s="33" t="n"/>
      <c r="G358" s="33" t="n"/>
      <c r="H358" s="33" t="n"/>
      <c r="I358" s="33" t="n"/>
      <c r="J358" s="33" t="n"/>
      <c r="K358" s="33" t="n"/>
      <c r="L358" s="33" t="n"/>
      <c r="N358" s="34">
        <f>IF($A358="",NA(),IF(C358&gt;0,D358/C358,0))</f>
        <v/>
      </c>
      <c r="O358" s="34">
        <f>IF($A358="",NA(),IF(E358&gt;0,F358/E358,0))</f>
        <v/>
      </c>
      <c r="P358" s="34">
        <f>IF($A358="",NA(),IF(K358+L358&gt;0,K358/(K358+L358),0.5))</f>
        <v/>
      </c>
      <c r="Q358" s="34">
        <f>IF($A358="",NA(),1-P358)</f>
        <v/>
      </c>
      <c r="R358" s="33">
        <f>IF($A358="",NA(),MAX(0,E358-F358)*IF(G358&gt;0,H358/G358,COMPAREC_PAD)*IF(I358&gt;0,J358/I358,VALIDOS_PAD))</f>
        <v/>
      </c>
      <c r="S358" s="34">
        <f>IF($A358="",NA(),IF(R358&gt;0,0.5-(K358-L358)/(2*R358),0))</f>
        <v/>
      </c>
      <c r="T358" s="34">
        <f>IF($A358="",NA(),IF(R358&lt;=0,IF(K358&gt;L358,1,IF(K358&lt;L358,0,0.5)),1-NORMDIST(S358,P358+AJUSTE,SIGMA,TRUE)))</f>
        <v/>
      </c>
      <c r="U358" s="34">
        <f>IF($A358="",NA(),1-T358)</f>
        <v/>
      </c>
    </row>
    <row r="359"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N359" s="34">
        <f>IF($A359="",NA(),IF(C359&gt;0,D359/C359,0))</f>
        <v/>
      </c>
      <c r="O359" s="34">
        <f>IF($A359="",NA(),IF(E359&gt;0,F359/E359,0))</f>
        <v/>
      </c>
      <c r="P359" s="34">
        <f>IF($A359="",NA(),IF(K359+L359&gt;0,K359/(K359+L359),0.5))</f>
        <v/>
      </c>
      <c r="Q359" s="34">
        <f>IF($A359="",NA(),1-P359)</f>
        <v/>
      </c>
      <c r="R359" s="33">
        <f>IF($A359="",NA(),MAX(0,E359-F359)*IF(G359&gt;0,H359/G359,COMPAREC_PAD)*IF(I359&gt;0,J359/I359,VALIDOS_PAD))</f>
        <v/>
      </c>
      <c r="S359" s="34">
        <f>IF($A359="",NA(),IF(R359&gt;0,0.5-(K359-L359)/(2*R359),0))</f>
        <v/>
      </c>
      <c r="T359" s="34">
        <f>IF($A359="",NA(),IF(R359&lt;=0,IF(K359&gt;L359,1,IF(K359&lt;L359,0,0.5)),1-NORMDIST(S359,P359+AJUSTE,SIGMA,TRUE)))</f>
        <v/>
      </c>
      <c r="U359" s="34">
        <f>IF($A359="",NA(),1-T359)</f>
        <v/>
      </c>
    </row>
    <row r="360"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N360" s="34">
        <f>IF($A360="",NA(),IF(C360&gt;0,D360/C360,0))</f>
        <v/>
      </c>
      <c r="O360" s="34">
        <f>IF($A360="",NA(),IF(E360&gt;0,F360/E360,0))</f>
        <v/>
      </c>
      <c r="P360" s="34">
        <f>IF($A360="",NA(),IF(K360+L360&gt;0,K360/(K360+L360),0.5))</f>
        <v/>
      </c>
      <c r="Q360" s="34">
        <f>IF($A360="",NA(),1-P360)</f>
        <v/>
      </c>
      <c r="R360" s="33">
        <f>IF($A360="",NA(),MAX(0,E360-F360)*IF(G360&gt;0,H360/G360,COMPAREC_PAD)*IF(I360&gt;0,J360/I360,VALIDOS_PAD))</f>
        <v/>
      </c>
      <c r="S360" s="34">
        <f>IF($A360="",NA(),IF(R360&gt;0,0.5-(K360-L360)/(2*R360),0))</f>
        <v/>
      </c>
      <c r="T360" s="34">
        <f>IF($A360="",NA(),IF(R360&lt;=0,IF(K360&gt;L360,1,IF(K360&lt;L360,0,0.5)),1-NORMDIST(S360,P360+AJUSTE,SIGMA,TRUE)))</f>
        <v/>
      </c>
      <c r="U360" s="34">
        <f>IF($A360="",NA(),1-T360)</f>
        <v/>
      </c>
    </row>
    <row r="361"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N361" s="34">
        <f>IF($A361="",NA(),IF(C361&gt;0,D361/C361,0))</f>
        <v/>
      </c>
      <c r="O361" s="34">
        <f>IF($A361="",NA(),IF(E361&gt;0,F361/E361,0))</f>
        <v/>
      </c>
      <c r="P361" s="34">
        <f>IF($A361="",NA(),IF(K361+L361&gt;0,K361/(K361+L361),0.5))</f>
        <v/>
      </c>
      <c r="Q361" s="34">
        <f>IF($A361="",NA(),1-P361)</f>
        <v/>
      </c>
      <c r="R361" s="33">
        <f>IF($A361="",NA(),MAX(0,E361-F361)*IF(G361&gt;0,H361/G361,COMPAREC_PAD)*IF(I361&gt;0,J361/I361,VALIDOS_PAD))</f>
        <v/>
      </c>
      <c r="S361" s="34">
        <f>IF($A361="",NA(),IF(R361&gt;0,0.5-(K361-L361)/(2*R361),0))</f>
        <v/>
      </c>
      <c r="T361" s="34">
        <f>IF($A361="",NA(),IF(R361&lt;=0,IF(K361&gt;L361,1,IF(K361&lt;L361,0,0.5)),1-NORMDIST(S361,P361+AJUSTE,SIGMA,TRUE)))</f>
        <v/>
      </c>
      <c r="U361" s="34">
        <f>IF($A361="",NA(),1-T361)</f>
        <v/>
      </c>
    </row>
    <row r="362"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  <c r="N362" s="34">
        <f>IF($A362="",NA(),IF(C362&gt;0,D362/C362,0))</f>
        <v/>
      </c>
      <c r="O362" s="34">
        <f>IF($A362="",NA(),IF(E362&gt;0,F362/E362,0))</f>
        <v/>
      </c>
      <c r="P362" s="34">
        <f>IF($A362="",NA(),IF(K362+L362&gt;0,K362/(K362+L362),0.5))</f>
        <v/>
      </c>
      <c r="Q362" s="34">
        <f>IF($A362="",NA(),1-P362)</f>
        <v/>
      </c>
      <c r="R362" s="33">
        <f>IF($A362="",NA(),MAX(0,E362-F362)*IF(G362&gt;0,H362/G362,COMPAREC_PAD)*IF(I362&gt;0,J362/I362,VALIDOS_PAD))</f>
        <v/>
      </c>
      <c r="S362" s="34">
        <f>IF($A362="",NA(),IF(R362&gt;0,0.5-(K362-L362)/(2*R362),0))</f>
        <v/>
      </c>
      <c r="T362" s="34">
        <f>IF($A362="",NA(),IF(R362&lt;=0,IF(K362&gt;L362,1,IF(K362&lt;L362,0,0.5)),1-NORMDIST(S362,P362+AJUSTE,SIGMA,TRUE)))</f>
        <v/>
      </c>
      <c r="U362" s="34">
        <f>IF($A362="",NA(),1-T362)</f>
        <v/>
      </c>
    </row>
    <row r="363">
      <c r="C363" s="33" t="n"/>
      <c r="D363" s="33" t="n"/>
      <c r="E363" s="33" t="n"/>
      <c r="F363" s="33" t="n"/>
      <c r="G363" s="33" t="n"/>
      <c r="H363" s="33" t="n"/>
      <c r="I363" s="33" t="n"/>
      <c r="J363" s="33" t="n"/>
      <c r="K363" s="33" t="n"/>
      <c r="L363" s="33" t="n"/>
      <c r="N363" s="34">
        <f>IF($A363="",NA(),IF(C363&gt;0,D363/C363,0))</f>
        <v/>
      </c>
      <c r="O363" s="34">
        <f>IF($A363="",NA(),IF(E363&gt;0,F363/E363,0))</f>
        <v/>
      </c>
      <c r="P363" s="34">
        <f>IF($A363="",NA(),IF(K363+L363&gt;0,K363/(K363+L363),0.5))</f>
        <v/>
      </c>
      <c r="Q363" s="34">
        <f>IF($A363="",NA(),1-P363)</f>
        <v/>
      </c>
      <c r="R363" s="33">
        <f>IF($A363="",NA(),MAX(0,E363-F363)*IF(G363&gt;0,H363/G363,COMPAREC_PAD)*IF(I363&gt;0,J363/I363,VALIDOS_PAD))</f>
        <v/>
      </c>
      <c r="S363" s="34">
        <f>IF($A363="",NA(),IF(R363&gt;0,0.5-(K363-L363)/(2*R363),0))</f>
        <v/>
      </c>
      <c r="T363" s="34">
        <f>IF($A363="",NA(),IF(R363&lt;=0,IF(K363&gt;L363,1,IF(K363&lt;L363,0,0.5)),1-NORMDIST(S363,P363+AJUSTE,SIGMA,TRUE)))</f>
        <v/>
      </c>
      <c r="U363" s="34">
        <f>IF($A363="",NA(),1-T363)</f>
        <v/>
      </c>
    </row>
    <row r="364"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N364" s="34">
        <f>IF($A364="",NA(),IF(C364&gt;0,D364/C364,0))</f>
        <v/>
      </c>
      <c r="O364" s="34">
        <f>IF($A364="",NA(),IF(E364&gt;0,F364/E364,0))</f>
        <v/>
      </c>
      <c r="P364" s="34">
        <f>IF($A364="",NA(),IF(K364+L364&gt;0,K364/(K364+L364),0.5))</f>
        <v/>
      </c>
      <c r="Q364" s="34">
        <f>IF($A364="",NA(),1-P364)</f>
        <v/>
      </c>
      <c r="R364" s="33">
        <f>IF($A364="",NA(),MAX(0,E364-F364)*IF(G364&gt;0,H364/G364,COMPAREC_PAD)*IF(I364&gt;0,J364/I364,VALIDOS_PAD))</f>
        <v/>
      </c>
      <c r="S364" s="34">
        <f>IF($A364="",NA(),IF(R364&gt;0,0.5-(K364-L364)/(2*R364),0))</f>
        <v/>
      </c>
      <c r="T364" s="34">
        <f>IF($A364="",NA(),IF(R364&lt;=0,IF(K364&gt;L364,1,IF(K364&lt;L364,0,0.5)),1-NORMDIST(S364,P364+AJUSTE,SIGMA,TRUE)))</f>
        <v/>
      </c>
      <c r="U364" s="34">
        <f>IF($A364="",NA(),1-T364)</f>
        <v/>
      </c>
    </row>
    <row r="365"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N365" s="34">
        <f>IF($A365="",NA(),IF(C365&gt;0,D365/C365,0))</f>
        <v/>
      </c>
      <c r="O365" s="34">
        <f>IF($A365="",NA(),IF(E365&gt;0,F365/E365,0))</f>
        <v/>
      </c>
      <c r="P365" s="34">
        <f>IF($A365="",NA(),IF(K365+L365&gt;0,K365/(K365+L365),0.5))</f>
        <v/>
      </c>
      <c r="Q365" s="34">
        <f>IF($A365="",NA(),1-P365)</f>
        <v/>
      </c>
      <c r="R365" s="33">
        <f>IF($A365="",NA(),MAX(0,E365-F365)*IF(G365&gt;0,H365/G365,COMPAREC_PAD)*IF(I365&gt;0,J365/I365,VALIDOS_PAD))</f>
        <v/>
      </c>
      <c r="S365" s="34">
        <f>IF($A365="",NA(),IF(R365&gt;0,0.5-(K365-L365)/(2*R365),0))</f>
        <v/>
      </c>
      <c r="T365" s="34">
        <f>IF($A365="",NA(),IF(R365&lt;=0,IF(K365&gt;L365,1,IF(K365&lt;L365,0,0.5)),1-NORMDIST(S365,P365+AJUSTE,SIGMA,TRUE)))</f>
        <v/>
      </c>
      <c r="U365" s="34">
        <f>IF($A365="",NA(),1-T365)</f>
        <v/>
      </c>
    </row>
    <row r="366"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N366" s="34">
        <f>IF($A366="",NA(),IF(C366&gt;0,D366/C366,0))</f>
        <v/>
      </c>
      <c r="O366" s="34">
        <f>IF($A366="",NA(),IF(E366&gt;0,F366/E366,0))</f>
        <v/>
      </c>
      <c r="P366" s="34">
        <f>IF($A366="",NA(),IF(K366+L366&gt;0,K366/(K366+L366),0.5))</f>
        <v/>
      </c>
      <c r="Q366" s="34">
        <f>IF($A366="",NA(),1-P366)</f>
        <v/>
      </c>
      <c r="R366" s="33">
        <f>IF($A366="",NA(),MAX(0,E366-F366)*IF(G366&gt;0,H366/G366,COMPAREC_PAD)*IF(I366&gt;0,J366/I366,VALIDOS_PAD))</f>
        <v/>
      </c>
      <c r="S366" s="34">
        <f>IF($A366="",NA(),IF(R366&gt;0,0.5-(K366-L366)/(2*R366),0))</f>
        <v/>
      </c>
      <c r="T366" s="34">
        <f>IF($A366="",NA(),IF(R366&lt;=0,IF(K366&gt;L366,1,IF(K366&lt;L366,0,0.5)),1-NORMDIST(S366,P366+AJUSTE,SIGMA,TRUE)))</f>
        <v/>
      </c>
      <c r="U366" s="34">
        <f>IF($A366="",NA(),1-T366)</f>
        <v/>
      </c>
    </row>
    <row r="367"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3" t="n"/>
      <c r="N367" s="34">
        <f>IF($A367="",NA(),IF(C367&gt;0,D367/C367,0))</f>
        <v/>
      </c>
      <c r="O367" s="34">
        <f>IF($A367="",NA(),IF(E367&gt;0,F367/E367,0))</f>
        <v/>
      </c>
      <c r="P367" s="34">
        <f>IF($A367="",NA(),IF(K367+L367&gt;0,K367/(K367+L367),0.5))</f>
        <v/>
      </c>
      <c r="Q367" s="34">
        <f>IF($A367="",NA(),1-P367)</f>
        <v/>
      </c>
      <c r="R367" s="33">
        <f>IF($A367="",NA(),MAX(0,E367-F367)*IF(G367&gt;0,H367/G367,COMPAREC_PAD)*IF(I367&gt;0,J367/I367,VALIDOS_PAD))</f>
        <v/>
      </c>
      <c r="S367" s="34">
        <f>IF($A367="",NA(),IF(R367&gt;0,0.5-(K367-L367)/(2*R367),0))</f>
        <v/>
      </c>
      <c r="T367" s="34">
        <f>IF($A367="",NA(),IF(R367&lt;=0,IF(K367&gt;L367,1,IF(K367&lt;L367,0,0.5)),1-NORMDIST(S367,P367+AJUSTE,SIGMA,TRUE)))</f>
        <v/>
      </c>
      <c r="U367" s="34">
        <f>IF($A367="",NA(),1-T367)</f>
        <v/>
      </c>
    </row>
    <row r="368">
      <c r="C368" s="33" t="n"/>
      <c r="D368" s="33" t="n"/>
      <c r="E368" s="33" t="n"/>
      <c r="F368" s="33" t="n"/>
      <c r="G368" s="33" t="n"/>
      <c r="H368" s="33" t="n"/>
      <c r="I368" s="33" t="n"/>
      <c r="J368" s="33" t="n"/>
      <c r="K368" s="33" t="n"/>
      <c r="L368" s="33" t="n"/>
      <c r="N368" s="34">
        <f>IF($A368="",NA(),IF(C368&gt;0,D368/C368,0))</f>
        <v/>
      </c>
      <c r="O368" s="34">
        <f>IF($A368="",NA(),IF(E368&gt;0,F368/E368,0))</f>
        <v/>
      </c>
      <c r="P368" s="34">
        <f>IF($A368="",NA(),IF(K368+L368&gt;0,K368/(K368+L368),0.5))</f>
        <v/>
      </c>
      <c r="Q368" s="34">
        <f>IF($A368="",NA(),1-P368)</f>
        <v/>
      </c>
      <c r="R368" s="33">
        <f>IF($A368="",NA(),MAX(0,E368-F368)*IF(G368&gt;0,H368/G368,COMPAREC_PAD)*IF(I368&gt;0,J368/I368,VALIDOS_PAD))</f>
        <v/>
      </c>
      <c r="S368" s="34">
        <f>IF($A368="",NA(),IF(R368&gt;0,0.5-(K368-L368)/(2*R368),0))</f>
        <v/>
      </c>
      <c r="T368" s="34">
        <f>IF($A368="",NA(),IF(R368&lt;=0,IF(K368&gt;L368,1,IF(K368&lt;L368,0,0.5)),1-NORMDIST(S368,P368+AJUSTE,SIGMA,TRUE)))</f>
        <v/>
      </c>
      <c r="U368" s="34">
        <f>IF($A368="",NA(),1-T368)</f>
        <v/>
      </c>
    </row>
    <row r="369">
      <c r="C369" s="33" t="n"/>
      <c r="D369" s="33" t="n"/>
      <c r="E369" s="33" t="n"/>
      <c r="F369" s="33" t="n"/>
      <c r="G369" s="33" t="n"/>
      <c r="H369" s="33" t="n"/>
      <c r="I369" s="33" t="n"/>
      <c r="J369" s="33" t="n"/>
      <c r="K369" s="33" t="n"/>
      <c r="L369" s="33" t="n"/>
      <c r="N369" s="34">
        <f>IF($A369="",NA(),IF(C369&gt;0,D369/C369,0))</f>
        <v/>
      </c>
      <c r="O369" s="34">
        <f>IF($A369="",NA(),IF(E369&gt;0,F369/E369,0))</f>
        <v/>
      </c>
      <c r="P369" s="34">
        <f>IF($A369="",NA(),IF(K369+L369&gt;0,K369/(K369+L369),0.5))</f>
        <v/>
      </c>
      <c r="Q369" s="34">
        <f>IF($A369="",NA(),1-P369)</f>
        <v/>
      </c>
      <c r="R369" s="33">
        <f>IF($A369="",NA(),MAX(0,E369-F369)*IF(G369&gt;0,H369/G369,COMPAREC_PAD)*IF(I369&gt;0,J369/I369,VALIDOS_PAD))</f>
        <v/>
      </c>
      <c r="S369" s="34">
        <f>IF($A369="",NA(),IF(R369&gt;0,0.5-(K369-L369)/(2*R369),0))</f>
        <v/>
      </c>
      <c r="T369" s="34">
        <f>IF($A369="",NA(),IF(R369&lt;=0,IF(K369&gt;L369,1,IF(K369&lt;L369,0,0.5)),1-NORMDIST(S369,P369+AJUSTE,SIGMA,TRUE)))</f>
        <v/>
      </c>
      <c r="U369" s="34">
        <f>IF($A369="",NA(),1-T369)</f>
        <v/>
      </c>
    </row>
    <row r="370">
      <c r="C370" s="33" t="n"/>
      <c r="D370" s="33" t="n"/>
      <c r="E370" s="33" t="n"/>
      <c r="F370" s="33" t="n"/>
      <c r="G370" s="33" t="n"/>
      <c r="H370" s="33" t="n"/>
      <c r="I370" s="33" t="n"/>
      <c r="J370" s="33" t="n"/>
      <c r="K370" s="33" t="n"/>
      <c r="L370" s="33" t="n"/>
      <c r="N370" s="34">
        <f>IF($A370="",NA(),IF(C370&gt;0,D370/C370,0))</f>
        <v/>
      </c>
      <c r="O370" s="34">
        <f>IF($A370="",NA(),IF(E370&gt;0,F370/E370,0))</f>
        <v/>
      </c>
      <c r="P370" s="34">
        <f>IF($A370="",NA(),IF(K370+L370&gt;0,K370/(K370+L370),0.5))</f>
        <v/>
      </c>
      <c r="Q370" s="34">
        <f>IF($A370="",NA(),1-P370)</f>
        <v/>
      </c>
      <c r="R370" s="33">
        <f>IF($A370="",NA(),MAX(0,E370-F370)*IF(G370&gt;0,H370/G370,COMPAREC_PAD)*IF(I370&gt;0,J370/I370,VALIDOS_PAD))</f>
        <v/>
      </c>
      <c r="S370" s="34">
        <f>IF($A370="",NA(),IF(R370&gt;0,0.5-(K370-L370)/(2*R370),0))</f>
        <v/>
      </c>
      <c r="T370" s="34">
        <f>IF($A370="",NA(),IF(R370&lt;=0,IF(K370&gt;L370,1,IF(K370&lt;L370,0,0.5)),1-NORMDIST(S370,P370+AJUSTE,SIGMA,TRUE)))</f>
        <v/>
      </c>
      <c r="U370" s="34">
        <f>IF($A370="",NA(),1-T370)</f>
        <v/>
      </c>
    </row>
    <row r="371">
      <c r="C371" s="33" t="n"/>
      <c r="D371" s="33" t="n"/>
      <c r="E371" s="33" t="n"/>
      <c r="F371" s="33" t="n"/>
      <c r="G371" s="33" t="n"/>
      <c r="H371" s="33" t="n"/>
      <c r="I371" s="33" t="n"/>
      <c r="J371" s="33" t="n"/>
      <c r="K371" s="33" t="n"/>
      <c r="L371" s="33" t="n"/>
      <c r="N371" s="34">
        <f>IF($A371="",NA(),IF(C371&gt;0,D371/C371,0))</f>
        <v/>
      </c>
      <c r="O371" s="34">
        <f>IF($A371="",NA(),IF(E371&gt;0,F371/E371,0))</f>
        <v/>
      </c>
      <c r="P371" s="34">
        <f>IF($A371="",NA(),IF(K371+L371&gt;0,K371/(K371+L371),0.5))</f>
        <v/>
      </c>
      <c r="Q371" s="34">
        <f>IF($A371="",NA(),1-P371)</f>
        <v/>
      </c>
      <c r="R371" s="33">
        <f>IF($A371="",NA(),MAX(0,E371-F371)*IF(G371&gt;0,H371/G371,COMPAREC_PAD)*IF(I371&gt;0,J371/I371,VALIDOS_PAD))</f>
        <v/>
      </c>
      <c r="S371" s="34">
        <f>IF($A371="",NA(),IF(R371&gt;0,0.5-(K371-L371)/(2*R371),0))</f>
        <v/>
      </c>
      <c r="T371" s="34">
        <f>IF($A371="",NA(),IF(R371&lt;=0,IF(K371&gt;L371,1,IF(K371&lt;L371,0,0.5)),1-NORMDIST(S371,P371+AJUSTE,SIGMA,TRUE)))</f>
        <v/>
      </c>
      <c r="U371" s="34">
        <f>IF($A371="",NA(),1-T371)</f>
        <v/>
      </c>
    </row>
    <row r="372"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  <c r="N372" s="34">
        <f>IF($A372="",NA(),IF(C372&gt;0,D372/C372,0))</f>
        <v/>
      </c>
      <c r="O372" s="34">
        <f>IF($A372="",NA(),IF(E372&gt;0,F372/E372,0))</f>
        <v/>
      </c>
      <c r="P372" s="34">
        <f>IF($A372="",NA(),IF(K372+L372&gt;0,K372/(K372+L372),0.5))</f>
        <v/>
      </c>
      <c r="Q372" s="34">
        <f>IF($A372="",NA(),1-P372)</f>
        <v/>
      </c>
      <c r="R372" s="33">
        <f>IF($A372="",NA(),MAX(0,E372-F372)*IF(G372&gt;0,H372/G372,COMPAREC_PAD)*IF(I372&gt;0,J372/I372,VALIDOS_PAD))</f>
        <v/>
      </c>
      <c r="S372" s="34">
        <f>IF($A372="",NA(),IF(R372&gt;0,0.5-(K372-L372)/(2*R372),0))</f>
        <v/>
      </c>
      <c r="T372" s="34">
        <f>IF($A372="",NA(),IF(R372&lt;=0,IF(K372&gt;L372,1,IF(K372&lt;L372,0,0.5)),1-NORMDIST(S372,P372+AJUSTE,SIGMA,TRUE)))</f>
        <v/>
      </c>
      <c r="U372" s="34">
        <f>IF($A372="",NA(),1-T372)</f>
        <v/>
      </c>
    </row>
    <row r="373"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3" t="n"/>
      <c r="N373" s="34">
        <f>IF($A373="",NA(),IF(C373&gt;0,D373/C373,0))</f>
        <v/>
      </c>
      <c r="O373" s="34">
        <f>IF($A373="",NA(),IF(E373&gt;0,F373/E373,0))</f>
        <v/>
      </c>
      <c r="P373" s="34">
        <f>IF($A373="",NA(),IF(K373+L373&gt;0,K373/(K373+L373),0.5))</f>
        <v/>
      </c>
      <c r="Q373" s="34">
        <f>IF($A373="",NA(),1-P373)</f>
        <v/>
      </c>
      <c r="R373" s="33">
        <f>IF($A373="",NA(),MAX(0,E373-F373)*IF(G373&gt;0,H373/G373,COMPAREC_PAD)*IF(I373&gt;0,J373/I373,VALIDOS_PAD))</f>
        <v/>
      </c>
      <c r="S373" s="34">
        <f>IF($A373="",NA(),IF(R373&gt;0,0.5-(K373-L373)/(2*R373),0))</f>
        <v/>
      </c>
      <c r="T373" s="34">
        <f>IF($A373="",NA(),IF(R373&lt;=0,IF(K373&gt;L373,1,IF(K373&lt;L373,0,0.5)),1-NORMDIST(S373,P373+AJUSTE,SIGMA,TRUE)))</f>
        <v/>
      </c>
      <c r="U373" s="34">
        <f>IF($A373="",NA(),1-T373)</f>
        <v/>
      </c>
    </row>
    <row r="374">
      <c r="C374" s="33" t="n"/>
      <c r="D374" s="33" t="n"/>
      <c r="E374" s="33" t="n"/>
      <c r="F374" s="33" t="n"/>
      <c r="G374" s="33" t="n"/>
      <c r="H374" s="33" t="n"/>
      <c r="I374" s="33" t="n"/>
      <c r="J374" s="33" t="n"/>
      <c r="K374" s="33" t="n"/>
      <c r="L374" s="33" t="n"/>
      <c r="N374" s="34">
        <f>IF($A374="",NA(),IF(C374&gt;0,D374/C374,0))</f>
        <v/>
      </c>
      <c r="O374" s="34">
        <f>IF($A374="",NA(),IF(E374&gt;0,F374/E374,0))</f>
        <v/>
      </c>
      <c r="P374" s="34">
        <f>IF($A374="",NA(),IF(K374+L374&gt;0,K374/(K374+L374),0.5))</f>
        <v/>
      </c>
      <c r="Q374" s="34">
        <f>IF($A374="",NA(),1-P374)</f>
        <v/>
      </c>
      <c r="R374" s="33">
        <f>IF($A374="",NA(),MAX(0,E374-F374)*IF(G374&gt;0,H374/G374,COMPAREC_PAD)*IF(I374&gt;0,J374/I374,VALIDOS_PAD))</f>
        <v/>
      </c>
      <c r="S374" s="34">
        <f>IF($A374="",NA(),IF(R374&gt;0,0.5-(K374-L374)/(2*R374),0))</f>
        <v/>
      </c>
      <c r="T374" s="34">
        <f>IF($A374="",NA(),IF(R374&lt;=0,IF(K374&gt;L374,1,IF(K374&lt;L374,0,0.5)),1-NORMDIST(S374,P374+AJUSTE,SIGMA,TRUE)))</f>
        <v/>
      </c>
      <c r="U374" s="34">
        <f>IF($A374="",NA(),1-T374)</f>
        <v/>
      </c>
    </row>
    <row r="375">
      <c r="C375" s="33" t="n"/>
      <c r="D375" s="33" t="n"/>
      <c r="E375" s="33" t="n"/>
      <c r="F375" s="33" t="n"/>
      <c r="G375" s="33" t="n"/>
      <c r="H375" s="33" t="n"/>
      <c r="I375" s="33" t="n"/>
      <c r="J375" s="33" t="n"/>
      <c r="K375" s="33" t="n"/>
      <c r="L375" s="33" t="n"/>
      <c r="N375" s="34">
        <f>IF($A375="",NA(),IF(C375&gt;0,D375/C375,0))</f>
        <v/>
      </c>
      <c r="O375" s="34">
        <f>IF($A375="",NA(),IF(E375&gt;0,F375/E375,0))</f>
        <v/>
      </c>
      <c r="P375" s="34">
        <f>IF($A375="",NA(),IF(K375+L375&gt;0,K375/(K375+L375),0.5))</f>
        <v/>
      </c>
      <c r="Q375" s="34">
        <f>IF($A375="",NA(),1-P375)</f>
        <v/>
      </c>
      <c r="R375" s="33">
        <f>IF($A375="",NA(),MAX(0,E375-F375)*IF(G375&gt;0,H375/G375,COMPAREC_PAD)*IF(I375&gt;0,J375/I375,VALIDOS_PAD))</f>
        <v/>
      </c>
      <c r="S375" s="34">
        <f>IF($A375="",NA(),IF(R375&gt;0,0.5-(K375-L375)/(2*R375),0))</f>
        <v/>
      </c>
      <c r="T375" s="34">
        <f>IF($A375="",NA(),IF(R375&lt;=0,IF(K375&gt;L375,1,IF(K375&lt;L375,0,0.5)),1-NORMDIST(S375,P375+AJUSTE,SIGMA,TRUE)))</f>
        <v/>
      </c>
      <c r="U375" s="34">
        <f>IF($A375="",NA(),1-T375)</f>
        <v/>
      </c>
    </row>
    <row r="376">
      <c r="C376" s="33" t="n"/>
      <c r="D376" s="33" t="n"/>
      <c r="E376" s="33" t="n"/>
      <c r="F376" s="33" t="n"/>
      <c r="G376" s="33" t="n"/>
      <c r="H376" s="33" t="n"/>
      <c r="I376" s="33" t="n"/>
      <c r="J376" s="33" t="n"/>
      <c r="K376" s="33" t="n"/>
      <c r="L376" s="33" t="n"/>
      <c r="N376" s="34">
        <f>IF($A376="",NA(),IF(C376&gt;0,D376/C376,0))</f>
        <v/>
      </c>
      <c r="O376" s="34">
        <f>IF($A376="",NA(),IF(E376&gt;0,F376/E376,0))</f>
        <v/>
      </c>
      <c r="P376" s="34">
        <f>IF($A376="",NA(),IF(K376+L376&gt;0,K376/(K376+L376),0.5))</f>
        <v/>
      </c>
      <c r="Q376" s="34">
        <f>IF($A376="",NA(),1-P376)</f>
        <v/>
      </c>
      <c r="R376" s="33">
        <f>IF($A376="",NA(),MAX(0,E376-F376)*IF(G376&gt;0,H376/G376,COMPAREC_PAD)*IF(I376&gt;0,J376/I376,VALIDOS_PAD))</f>
        <v/>
      </c>
      <c r="S376" s="34">
        <f>IF($A376="",NA(),IF(R376&gt;0,0.5-(K376-L376)/(2*R376),0))</f>
        <v/>
      </c>
      <c r="T376" s="34">
        <f>IF($A376="",NA(),IF(R376&lt;=0,IF(K376&gt;L376,1,IF(K376&lt;L376,0,0.5)),1-NORMDIST(S376,P376+AJUSTE,SIGMA,TRUE)))</f>
        <v/>
      </c>
      <c r="U376" s="34">
        <f>IF($A376="",NA(),1-T376)</f>
        <v/>
      </c>
    </row>
    <row r="377"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  <c r="L377" s="33" t="n"/>
      <c r="N377" s="34">
        <f>IF($A377="",NA(),IF(C377&gt;0,D377/C377,0))</f>
        <v/>
      </c>
      <c r="O377" s="34">
        <f>IF($A377="",NA(),IF(E377&gt;0,F377/E377,0))</f>
        <v/>
      </c>
      <c r="P377" s="34">
        <f>IF($A377="",NA(),IF(K377+L377&gt;0,K377/(K377+L377),0.5))</f>
        <v/>
      </c>
      <c r="Q377" s="34">
        <f>IF($A377="",NA(),1-P377)</f>
        <v/>
      </c>
      <c r="R377" s="33">
        <f>IF($A377="",NA(),MAX(0,E377-F377)*IF(G377&gt;0,H377/G377,COMPAREC_PAD)*IF(I377&gt;0,J377/I377,VALIDOS_PAD))</f>
        <v/>
      </c>
      <c r="S377" s="34">
        <f>IF($A377="",NA(),IF(R377&gt;0,0.5-(K377-L377)/(2*R377),0))</f>
        <v/>
      </c>
      <c r="T377" s="34">
        <f>IF($A377="",NA(),IF(R377&lt;=0,IF(K377&gt;L377,1,IF(K377&lt;L377,0,0.5)),1-NORMDIST(S377,P377+AJUSTE,SIGMA,TRUE)))</f>
        <v/>
      </c>
      <c r="U377" s="34">
        <f>IF($A377="",NA(),1-T377)</f>
        <v/>
      </c>
    </row>
    <row r="378"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N378" s="34">
        <f>IF($A378="",NA(),IF(C378&gt;0,D378/C378,0))</f>
        <v/>
      </c>
      <c r="O378" s="34">
        <f>IF($A378="",NA(),IF(E378&gt;0,F378/E378,0))</f>
        <v/>
      </c>
      <c r="P378" s="34">
        <f>IF($A378="",NA(),IF(K378+L378&gt;0,K378/(K378+L378),0.5))</f>
        <v/>
      </c>
      <c r="Q378" s="34">
        <f>IF($A378="",NA(),1-P378)</f>
        <v/>
      </c>
      <c r="R378" s="33">
        <f>IF($A378="",NA(),MAX(0,E378-F378)*IF(G378&gt;0,H378/G378,COMPAREC_PAD)*IF(I378&gt;0,J378/I378,VALIDOS_PAD))</f>
        <v/>
      </c>
      <c r="S378" s="34">
        <f>IF($A378="",NA(),IF(R378&gt;0,0.5-(K378-L378)/(2*R378),0))</f>
        <v/>
      </c>
      <c r="T378" s="34">
        <f>IF($A378="",NA(),IF(R378&lt;=0,IF(K378&gt;L378,1,IF(K378&lt;L378,0,0.5)),1-NORMDIST(S378,P378+AJUSTE,SIGMA,TRUE)))</f>
        <v/>
      </c>
      <c r="U378" s="34">
        <f>IF($A378="",NA(),1-T378)</f>
        <v/>
      </c>
    </row>
    <row r="379"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N379" s="34">
        <f>IF($A379="",NA(),IF(C379&gt;0,D379/C379,0))</f>
        <v/>
      </c>
      <c r="O379" s="34">
        <f>IF($A379="",NA(),IF(E379&gt;0,F379/E379,0))</f>
        <v/>
      </c>
      <c r="P379" s="34">
        <f>IF($A379="",NA(),IF(K379+L379&gt;0,K379/(K379+L379),0.5))</f>
        <v/>
      </c>
      <c r="Q379" s="34">
        <f>IF($A379="",NA(),1-P379)</f>
        <v/>
      </c>
      <c r="R379" s="33">
        <f>IF($A379="",NA(),MAX(0,E379-F379)*IF(G379&gt;0,H379/G379,COMPAREC_PAD)*IF(I379&gt;0,J379/I379,VALIDOS_PAD))</f>
        <v/>
      </c>
      <c r="S379" s="34">
        <f>IF($A379="",NA(),IF(R379&gt;0,0.5-(K379-L379)/(2*R379),0))</f>
        <v/>
      </c>
      <c r="T379" s="34">
        <f>IF($A379="",NA(),IF(R379&lt;=0,IF(K379&gt;L379,1,IF(K379&lt;L379,0,0.5)),1-NORMDIST(S379,P379+AJUSTE,SIGMA,TRUE)))</f>
        <v/>
      </c>
      <c r="U379" s="34">
        <f>IF($A379="",NA(),1-T379)</f>
        <v/>
      </c>
    </row>
    <row r="380"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  <c r="N380" s="34">
        <f>IF($A380="",NA(),IF(C380&gt;0,D380/C380,0))</f>
        <v/>
      </c>
      <c r="O380" s="34">
        <f>IF($A380="",NA(),IF(E380&gt;0,F380/E380,0))</f>
        <v/>
      </c>
      <c r="P380" s="34">
        <f>IF($A380="",NA(),IF(K380+L380&gt;0,K380/(K380+L380),0.5))</f>
        <v/>
      </c>
      <c r="Q380" s="34">
        <f>IF($A380="",NA(),1-P380)</f>
        <v/>
      </c>
      <c r="R380" s="33">
        <f>IF($A380="",NA(),MAX(0,E380-F380)*IF(G380&gt;0,H380/G380,COMPAREC_PAD)*IF(I380&gt;0,J380/I380,VALIDOS_PAD))</f>
        <v/>
      </c>
      <c r="S380" s="34">
        <f>IF($A380="",NA(),IF(R380&gt;0,0.5-(K380-L380)/(2*R380),0))</f>
        <v/>
      </c>
      <c r="T380" s="34">
        <f>IF($A380="",NA(),IF(R380&lt;=0,IF(K380&gt;L380,1,IF(K380&lt;L380,0,0.5)),1-NORMDIST(S380,P380+AJUSTE,SIGMA,TRUE)))</f>
        <v/>
      </c>
      <c r="U380" s="34">
        <f>IF($A380="",NA(),1-T380)</f>
        <v/>
      </c>
    </row>
    <row r="381">
      <c r="C381" s="33" t="n"/>
      <c r="D381" s="33" t="n"/>
      <c r="E381" s="33" t="n"/>
      <c r="F381" s="33" t="n"/>
      <c r="G381" s="33" t="n"/>
      <c r="H381" s="33" t="n"/>
      <c r="I381" s="33" t="n"/>
      <c r="J381" s="33" t="n"/>
      <c r="K381" s="33" t="n"/>
      <c r="L381" s="33" t="n"/>
      <c r="N381" s="34">
        <f>IF($A381="",NA(),IF(C381&gt;0,D381/C381,0))</f>
        <v/>
      </c>
      <c r="O381" s="34">
        <f>IF($A381="",NA(),IF(E381&gt;0,F381/E381,0))</f>
        <v/>
      </c>
      <c r="P381" s="34">
        <f>IF($A381="",NA(),IF(K381+L381&gt;0,K381/(K381+L381),0.5))</f>
        <v/>
      </c>
      <c r="Q381" s="34">
        <f>IF($A381="",NA(),1-P381)</f>
        <v/>
      </c>
      <c r="R381" s="33">
        <f>IF($A381="",NA(),MAX(0,E381-F381)*IF(G381&gt;0,H381/G381,COMPAREC_PAD)*IF(I381&gt;0,J381/I381,VALIDOS_PAD))</f>
        <v/>
      </c>
      <c r="S381" s="34">
        <f>IF($A381="",NA(),IF(R381&gt;0,0.5-(K381-L381)/(2*R381),0))</f>
        <v/>
      </c>
      <c r="T381" s="34">
        <f>IF($A381="",NA(),IF(R381&lt;=0,IF(K381&gt;L381,1,IF(K381&lt;L381,0,0.5)),1-NORMDIST(S381,P381+AJUSTE,SIGMA,TRUE)))</f>
        <v/>
      </c>
      <c r="U381" s="34">
        <f>IF($A381="",NA(),1-T381)</f>
        <v/>
      </c>
    </row>
    <row r="382">
      <c r="C382" s="33" t="n"/>
      <c r="D382" s="33" t="n"/>
      <c r="E382" s="33" t="n"/>
      <c r="F382" s="33" t="n"/>
      <c r="G382" s="33" t="n"/>
      <c r="H382" s="33" t="n"/>
      <c r="I382" s="33" t="n"/>
      <c r="J382" s="33" t="n"/>
      <c r="K382" s="33" t="n"/>
      <c r="L382" s="33" t="n"/>
      <c r="N382" s="34">
        <f>IF($A382="",NA(),IF(C382&gt;0,D382/C382,0))</f>
        <v/>
      </c>
      <c r="O382" s="34">
        <f>IF($A382="",NA(),IF(E382&gt;0,F382/E382,0))</f>
        <v/>
      </c>
      <c r="P382" s="34">
        <f>IF($A382="",NA(),IF(K382+L382&gt;0,K382/(K382+L382),0.5))</f>
        <v/>
      </c>
      <c r="Q382" s="34">
        <f>IF($A382="",NA(),1-P382)</f>
        <v/>
      </c>
      <c r="R382" s="33">
        <f>IF($A382="",NA(),MAX(0,E382-F382)*IF(G382&gt;0,H382/G382,COMPAREC_PAD)*IF(I382&gt;0,J382/I382,VALIDOS_PAD))</f>
        <v/>
      </c>
      <c r="S382" s="34">
        <f>IF($A382="",NA(),IF(R382&gt;0,0.5-(K382-L382)/(2*R382),0))</f>
        <v/>
      </c>
      <c r="T382" s="34">
        <f>IF($A382="",NA(),IF(R382&lt;=0,IF(K382&gt;L382,1,IF(K382&lt;L382,0,0.5)),1-NORMDIST(S382,P382+AJUSTE,SIGMA,TRUE)))</f>
        <v/>
      </c>
      <c r="U382" s="34">
        <f>IF($A382="",NA(),1-T382)</f>
        <v/>
      </c>
    </row>
    <row r="383"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N383" s="34">
        <f>IF($A383="",NA(),IF(C383&gt;0,D383/C383,0))</f>
        <v/>
      </c>
      <c r="O383" s="34">
        <f>IF($A383="",NA(),IF(E383&gt;0,F383/E383,0))</f>
        <v/>
      </c>
      <c r="P383" s="34">
        <f>IF($A383="",NA(),IF(K383+L383&gt;0,K383/(K383+L383),0.5))</f>
        <v/>
      </c>
      <c r="Q383" s="34">
        <f>IF($A383="",NA(),1-P383)</f>
        <v/>
      </c>
      <c r="R383" s="33">
        <f>IF($A383="",NA(),MAX(0,E383-F383)*IF(G383&gt;0,H383/G383,COMPAREC_PAD)*IF(I383&gt;0,J383/I383,VALIDOS_PAD))</f>
        <v/>
      </c>
      <c r="S383" s="34">
        <f>IF($A383="",NA(),IF(R383&gt;0,0.5-(K383-L383)/(2*R383),0))</f>
        <v/>
      </c>
      <c r="T383" s="34">
        <f>IF($A383="",NA(),IF(R383&lt;=0,IF(K383&gt;L383,1,IF(K383&lt;L383,0,0.5)),1-NORMDIST(S383,P383+AJUSTE,SIGMA,TRUE)))</f>
        <v/>
      </c>
      <c r="U383" s="34">
        <f>IF($A383="",NA(),1-T383)</f>
        <v/>
      </c>
    </row>
    <row r="384"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N384" s="34">
        <f>IF($A384="",NA(),IF(C384&gt;0,D384/C384,0))</f>
        <v/>
      </c>
      <c r="O384" s="34">
        <f>IF($A384="",NA(),IF(E384&gt;0,F384/E384,0))</f>
        <v/>
      </c>
      <c r="P384" s="34">
        <f>IF($A384="",NA(),IF(K384+L384&gt;0,K384/(K384+L384),0.5))</f>
        <v/>
      </c>
      <c r="Q384" s="34">
        <f>IF($A384="",NA(),1-P384)</f>
        <v/>
      </c>
      <c r="R384" s="33">
        <f>IF($A384="",NA(),MAX(0,E384-F384)*IF(G384&gt;0,H384/G384,COMPAREC_PAD)*IF(I384&gt;0,J384/I384,VALIDOS_PAD))</f>
        <v/>
      </c>
      <c r="S384" s="34">
        <f>IF($A384="",NA(),IF(R384&gt;0,0.5-(K384-L384)/(2*R384),0))</f>
        <v/>
      </c>
      <c r="T384" s="34">
        <f>IF($A384="",NA(),IF(R384&lt;=0,IF(K384&gt;L384,1,IF(K384&lt;L384,0,0.5)),1-NORMDIST(S384,P384+AJUSTE,SIGMA,TRUE)))</f>
        <v/>
      </c>
      <c r="U384" s="34">
        <f>IF($A384="",NA(),1-T384)</f>
        <v/>
      </c>
    </row>
    <row r="385"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3" t="n"/>
      <c r="N385" s="34">
        <f>IF($A385="",NA(),IF(C385&gt;0,D385/C385,0))</f>
        <v/>
      </c>
      <c r="O385" s="34">
        <f>IF($A385="",NA(),IF(E385&gt;0,F385/E385,0))</f>
        <v/>
      </c>
      <c r="P385" s="34">
        <f>IF($A385="",NA(),IF(K385+L385&gt;0,K385/(K385+L385),0.5))</f>
        <v/>
      </c>
      <c r="Q385" s="34">
        <f>IF($A385="",NA(),1-P385)</f>
        <v/>
      </c>
      <c r="R385" s="33">
        <f>IF($A385="",NA(),MAX(0,E385-F385)*IF(G385&gt;0,H385/G385,COMPAREC_PAD)*IF(I385&gt;0,J385/I385,VALIDOS_PAD))</f>
        <v/>
      </c>
      <c r="S385" s="34">
        <f>IF($A385="",NA(),IF(R385&gt;0,0.5-(K385-L385)/(2*R385),0))</f>
        <v/>
      </c>
      <c r="T385" s="34">
        <f>IF($A385="",NA(),IF(R385&lt;=0,IF(K385&gt;L385,1,IF(K385&lt;L385,0,0.5)),1-NORMDIST(S385,P385+AJUSTE,SIGMA,TRUE)))</f>
        <v/>
      </c>
      <c r="U385" s="34">
        <f>IF($A385="",NA(),1-T385)</f>
        <v/>
      </c>
    </row>
    <row r="386"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  <c r="N386" s="34">
        <f>IF($A386="",NA(),IF(C386&gt;0,D386/C386,0))</f>
        <v/>
      </c>
      <c r="O386" s="34">
        <f>IF($A386="",NA(),IF(E386&gt;0,F386/E386,0))</f>
        <v/>
      </c>
      <c r="P386" s="34">
        <f>IF($A386="",NA(),IF(K386+L386&gt;0,K386/(K386+L386),0.5))</f>
        <v/>
      </c>
      <c r="Q386" s="34">
        <f>IF($A386="",NA(),1-P386)</f>
        <v/>
      </c>
      <c r="R386" s="33">
        <f>IF($A386="",NA(),MAX(0,E386-F386)*IF(G386&gt;0,H386/G386,COMPAREC_PAD)*IF(I386&gt;0,J386/I386,VALIDOS_PAD))</f>
        <v/>
      </c>
      <c r="S386" s="34">
        <f>IF($A386="",NA(),IF(R386&gt;0,0.5-(K386-L386)/(2*R386),0))</f>
        <v/>
      </c>
      <c r="T386" s="34">
        <f>IF($A386="",NA(),IF(R386&lt;=0,IF(K386&gt;L386,1,IF(K386&lt;L386,0,0.5)),1-NORMDIST(S386,P386+AJUSTE,SIGMA,TRUE)))</f>
        <v/>
      </c>
      <c r="U386" s="34">
        <f>IF($A386="",NA(),1-T386)</f>
        <v/>
      </c>
    </row>
    <row r="387"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3" t="n"/>
      <c r="N387" s="34">
        <f>IF($A387="",NA(),IF(C387&gt;0,D387/C387,0))</f>
        <v/>
      </c>
      <c r="O387" s="34">
        <f>IF($A387="",NA(),IF(E387&gt;0,F387/E387,0))</f>
        <v/>
      </c>
      <c r="P387" s="34">
        <f>IF($A387="",NA(),IF(K387+L387&gt;0,K387/(K387+L387),0.5))</f>
        <v/>
      </c>
      <c r="Q387" s="34">
        <f>IF($A387="",NA(),1-P387)</f>
        <v/>
      </c>
      <c r="R387" s="33">
        <f>IF($A387="",NA(),MAX(0,E387-F387)*IF(G387&gt;0,H387/G387,COMPAREC_PAD)*IF(I387&gt;0,J387/I387,VALIDOS_PAD))</f>
        <v/>
      </c>
      <c r="S387" s="34">
        <f>IF($A387="",NA(),IF(R387&gt;0,0.5-(K387-L387)/(2*R387),0))</f>
        <v/>
      </c>
      <c r="T387" s="34">
        <f>IF($A387="",NA(),IF(R387&lt;=0,IF(K387&gt;L387,1,IF(K387&lt;L387,0,0.5)),1-NORMDIST(S387,P387+AJUSTE,SIGMA,TRUE)))</f>
        <v/>
      </c>
      <c r="U387" s="34">
        <f>IF($A387="",NA(),1-T387)</f>
        <v/>
      </c>
    </row>
    <row r="388"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N388" s="34">
        <f>IF($A388="",NA(),IF(C388&gt;0,D388/C388,0))</f>
        <v/>
      </c>
      <c r="O388" s="34">
        <f>IF($A388="",NA(),IF(E388&gt;0,F388/E388,0))</f>
        <v/>
      </c>
      <c r="P388" s="34">
        <f>IF($A388="",NA(),IF(K388+L388&gt;0,K388/(K388+L388),0.5))</f>
        <v/>
      </c>
      <c r="Q388" s="34">
        <f>IF($A388="",NA(),1-P388)</f>
        <v/>
      </c>
      <c r="R388" s="33">
        <f>IF($A388="",NA(),MAX(0,E388-F388)*IF(G388&gt;0,H388/G388,COMPAREC_PAD)*IF(I388&gt;0,J388/I388,VALIDOS_PAD))</f>
        <v/>
      </c>
      <c r="S388" s="34">
        <f>IF($A388="",NA(),IF(R388&gt;0,0.5-(K388-L388)/(2*R388),0))</f>
        <v/>
      </c>
      <c r="T388" s="34">
        <f>IF($A388="",NA(),IF(R388&lt;=0,IF(K388&gt;L388,1,IF(K388&lt;L388,0,0.5)),1-NORMDIST(S388,P388+AJUSTE,SIGMA,TRUE)))</f>
        <v/>
      </c>
      <c r="U388" s="34">
        <f>IF($A388="",NA(),1-T388)</f>
        <v/>
      </c>
    </row>
    <row r="389"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N389" s="34">
        <f>IF($A389="",NA(),IF(C389&gt;0,D389/C389,0))</f>
        <v/>
      </c>
      <c r="O389" s="34">
        <f>IF($A389="",NA(),IF(E389&gt;0,F389/E389,0))</f>
        <v/>
      </c>
      <c r="P389" s="34">
        <f>IF($A389="",NA(),IF(K389+L389&gt;0,K389/(K389+L389),0.5))</f>
        <v/>
      </c>
      <c r="Q389" s="34">
        <f>IF($A389="",NA(),1-P389)</f>
        <v/>
      </c>
      <c r="R389" s="33">
        <f>IF($A389="",NA(),MAX(0,E389-F389)*IF(G389&gt;0,H389/G389,COMPAREC_PAD)*IF(I389&gt;0,J389/I389,VALIDOS_PAD))</f>
        <v/>
      </c>
      <c r="S389" s="34">
        <f>IF($A389="",NA(),IF(R389&gt;0,0.5-(K389-L389)/(2*R389),0))</f>
        <v/>
      </c>
      <c r="T389" s="34">
        <f>IF($A389="",NA(),IF(R389&lt;=0,IF(K389&gt;L389,1,IF(K389&lt;L389,0,0.5)),1-NORMDIST(S389,P389+AJUSTE,SIGMA,TRUE)))</f>
        <v/>
      </c>
      <c r="U389" s="34">
        <f>IF($A389="",NA(),1-T389)</f>
        <v/>
      </c>
    </row>
    <row r="390"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  <c r="N390" s="34">
        <f>IF($A390="",NA(),IF(C390&gt;0,D390/C390,0))</f>
        <v/>
      </c>
      <c r="O390" s="34">
        <f>IF($A390="",NA(),IF(E390&gt;0,F390/E390,0))</f>
        <v/>
      </c>
      <c r="P390" s="34">
        <f>IF($A390="",NA(),IF(K390+L390&gt;0,K390/(K390+L390),0.5))</f>
        <v/>
      </c>
      <c r="Q390" s="34">
        <f>IF($A390="",NA(),1-P390)</f>
        <v/>
      </c>
      <c r="R390" s="33">
        <f>IF($A390="",NA(),MAX(0,E390-F390)*IF(G390&gt;0,H390/G390,COMPAREC_PAD)*IF(I390&gt;0,J390/I390,VALIDOS_PAD))</f>
        <v/>
      </c>
      <c r="S390" s="34">
        <f>IF($A390="",NA(),IF(R390&gt;0,0.5-(K390-L390)/(2*R390),0))</f>
        <v/>
      </c>
      <c r="T390" s="34">
        <f>IF($A390="",NA(),IF(R390&lt;=0,IF(K390&gt;L390,1,IF(K390&lt;L390,0,0.5)),1-NORMDIST(S390,P390+AJUSTE,SIGMA,TRUE)))</f>
        <v/>
      </c>
      <c r="U390" s="34">
        <f>IF($A390="",NA(),1-T390)</f>
        <v/>
      </c>
    </row>
    <row r="391"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3" t="n"/>
      <c r="N391" s="34">
        <f>IF($A391="",NA(),IF(C391&gt;0,D391/C391,0))</f>
        <v/>
      </c>
      <c r="O391" s="34">
        <f>IF($A391="",NA(),IF(E391&gt;0,F391/E391,0))</f>
        <v/>
      </c>
      <c r="P391" s="34">
        <f>IF($A391="",NA(),IF(K391+L391&gt;0,K391/(K391+L391),0.5))</f>
        <v/>
      </c>
      <c r="Q391" s="34">
        <f>IF($A391="",NA(),1-P391)</f>
        <v/>
      </c>
      <c r="R391" s="33">
        <f>IF($A391="",NA(),MAX(0,E391-F391)*IF(G391&gt;0,H391/G391,COMPAREC_PAD)*IF(I391&gt;0,J391/I391,VALIDOS_PAD))</f>
        <v/>
      </c>
      <c r="S391" s="34">
        <f>IF($A391="",NA(),IF(R391&gt;0,0.5-(K391-L391)/(2*R391),0))</f>
        <v/>
      </c>
      <c r="T391" s="34">
        <f>IF($A391="",NA(),IF(R391&lt;=0,IF(K391&gt;L391,1,IF(K391&lt;L391,0,0.5)),1-NORMDIST(S391,P391+AJUSTE,SIGMA,TRUE)))</f>
        <v/>
      </c>
      <c r="U391" s="34">
        <f>IF($A391="",NA(),1-T391)</f>
        <v/>
      </c>
    </row>
    <row r="392"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  <c r="N392" s="34">
        <f>IF($A392="",NA(),IF(C392&gt;0,D392/C392,0))</f>
        <v/>
      </c>
      <c r="O392" s="34">
        <f>IF($A392="",NA(),IF(E392&gt;0,F392/E392,0))</f>
        <v/>
      </c>
      <c r="P392" s="34">
        <f>IF($A392="",NA(),IF(K392+L392&gt;0,K392/(K392+L392),0.5))</f>
        <v/>
      </c>
      <c r="Q392" s="34">
        <f>IF($A392="",NA(),1-P392)</f>
        <v/>
      </c>
      <c r="R392" s="33">
        <f>IF($A392="",NA(),MAX(0,E392-F392)*IF(G392&gt;0,H392/G392,COMPAREC_PAD)*IF(I392&gt;0,J392/I392,VALIDOS_PAD))</f>
        <v/>
      </c>
      <c r="S392" s="34">
        <f>IF($A392="",NA(),IF(R392&gt;0,0.5-(K392-L392)/(2*R392),0))</f>
        <v/>
      </c>
      <c r="T392" s="34">
        <f>IF($A392="",NA(),IF(R392&lt;=0,IF(K392&gt;L392,1,IF(K392&lt;L392,0,0.5)),1-NORMDIST(S392,P392+AJUSTE,SIGMA,TRUE)))</f>
        <v/>
      </c>
      <c r="U392" s="34">
        <f>IF($A392="",NA(),1-T392)</f>
        <v/>
      </c>
    </row>
    <row r="393">
      <c r="C393" s="33" t="n"/>
      <c r="D393" s="33" t="n"/>
      <c r="E393" s="33" t="n"/>
      <c r="F393" s="33" t="n"/>
      <c r="G393" s="33" t="n"/>
      <c r="H393" s="33" t="n"/>
      <c r="I393" s="33" t="n"/>
      <c r="J393" s="33" t="n"/>
      <c r="K393" s="33" t="n"/>
      <c r="L393" s="33" t="n"/>
      <c r="N393" s="34">
        <f>IF($A393="",NA(),IF(C393&gt;0,D393/C393,0))</f>
        <v/>
      </c>
      <c r="O393" s="34">
        <f>IF($A393="",NA(),IF(E393&gt;0,F393/E393,0))</f>
        <v/>
      </c>
      <c r="P393" s="34">
        <f>IF($A393="",NA(),IF(K393+L393&gt;0,K393/(K393+L393),0.5))</f>
        <v/>
      </c>
      <c r="Q393" s="34">
        <f>IF($A393="",NA(),1-P393)</f>
        <v/>
      </c>
      <c r="R393" s="33">
        <f>IF($A393="",NA(),MAX(0,E393-F393)*IF(G393&gt;0,H393/G393,COMPAREC_PAD)*IF(I393&gt;0,J393/I393,VALIDOS_PAD))</f>
        <v/>
      </c>
      <c r="S393" s="34">
        <f>IF($A393="",NA(),IF(R393&gt;0,0.5-(K393-L393)/(2*R393),0))</f>
        <v/>
      </c>
      <c r="T393" s="34">
        <f>IF($A393="",NA(),IF(R393&lt;=0,IF(K393&gt;L393,1,IF(K393&lt;L393,0,0.5)),1-NORMDIST(S393,P393+AJUSTE,SIGMA,TRUE)))</f>
        <v/>
      </c>
      <c r="U393" s="34">
        <f>IF($A393="",NA(),1-T393)</f>
        <v/>
      </c>
    </row>
    <row r="394">
      <c r="C394" s="33" t="n"/>
      <c r="D394" s="33" t="n"/>
      <c r="E394" s="33" t="n"/>
      <c r="F394" s="33" t="n"/>
      <c r="G394" s="33" t="n"/>
      <c r="H394" s="33" t="n"/>
      <c r="I394" s="33" t="n"/>
      <c r="J394" s="33" t="n"/>
      <c r="K394" s="33" t="n"/>
      <c r="L394" s="33" t="n"/>
      <c r="N394" s="34">
        <f>IF($A394="",NA(),IF(C394&gt;0,D394/C394,0))</f>
        <v/>
      </c>
      <c r="O394" s="34">
        <f>IF($A394="",NA(),IF(E394&gt;0,F394/E394,0))</f>
        <v/>
      </c>
      <c r="P394" s="34">
        <f>IF($A394="",NA(),IF(K394+L394&gt;0,K394/(K394+L394),0.5))</f>
        <v/>
      </c>
      <c r="Q394" s="34">
        <f>IF($A394="",NA(),1-P394)</f>
        <v/>
      </c>
      <c r="R394" s="33">
        <f>IF($A394="",NA(),MAX(0,E394-F394)*IF(G394&gt;0,H394/G394,COMPAREC_PAD)*IF(I394&gt;0,J394/I394,VALIDOS_PAD))</f>
        <v/>
      </c>
      <c r="S394" s="34">
        <f>IF($A394="",NA(),IF(R394&gt;0,0.5-(K394-L394)/(2*R394),0))</f>
        <v/>
      </c>
      <c r="T394" s="34">
        <f>IF($A394="",NA(),IF(R394&lt;=0,IF(K394&gt;L394,1,IF(K394&lt;L394,0,0.5)),1-NORMDIST(S394,P394+AJUSTE,SIGMA,TRUE)))</f>
        <v/>
      </c>
      <c r="U394" s="34">
        <f>IF($A394="",NA(),1-T394)</f>
        <v/>
      </c>
    </row>
    <row r="395"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N395" s="34">
        <f>IF($A395="",NA(),IF(C395&gt;0,D395/C395,0))</f>
        <v/>
      </c>
      <c r="O395" s="34">
        <f>IF($A395="",NA(),IF(E395&gt;0,F395/E395,0))</f>
        <v/>
      </c>
      <c r="P395" s="34">
        <f>IF($A395="",NA(),IF(K395+L395&gt;0,K395/(K395+L395),0.5))</f>
        <v/>
      </c>
      <c r="Q395" s="34">
        <f>IF($A395="",NA(),1-P395)</f>
        <v/>
      </c>
      <c r="R395" s="33">
        <f>IF($A395="",NA(),MAX(0,E395-F395)*IF(G395&gt;0,H395/G395,COMPAREC_PAD)*IF(I395&gt;0,J395/I395,VALIDOS_PAD))</f>
        <v/>
      </c>
      <c r="S395" s="34">
        <f>IF($A395="",NA(),IF(R395&gt;0,0.5-(K395-L395)/(2*R395),0))</f>
        <v/>
      </c>
      <c r="T395" s="34">
        <f>IF($A395="",NA(),IF(R395&lt;=0,IF(K395&gt;L395,1,IF(K395&lt;L395,0,0.5)),1-NORMDIST(S395,P395+AJUSTE,SIGMA,TRUE)))</f>
        <v/>
      </c>
      <c r="U395" s="34">
        <f>IF($A395="",NA(),1-T395)</f>
        <v/>
      </c>
    </row>
    <row r="396"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N396" s="34">
        <f>IF($A396="",NA(),IF(C396&gt;0,D396/C396,0))</f>
        <v/>
      </c>
      <c r="O396" s="34">
        <f>IF($A396="",NA(),IF(E396&gt;0,F396/E396,0))</f>
        <v/>
      </c>
      <c r="P396" s="34">
        <f>IF($A396="",NA(),IF(K396+L396&gt;0,K396/(K396+L396),0.5))</f>
        <v/>
      </c>
      <c r="Q396" s="34">
        <f>IF($A396="",NA(),1-P396)</f>
        <v/>
      </c>
      <c r="R396" s="33">
        <f>IF($A396="",NA(),MAX(0,E396-F396)*IF(G396&gt;0,H396/G396,COMPAREC_PAD)*IF(I396&gt;0,J396/I396,VALIDOS_PAD))</f>
        <v/>
      </c>
      <c r="S396" s="34">
        <f>IF($A396="",NA(),IF(R396&gt;0,0.5-(K396-L396)/(2*R396),0))</f>
        <v/>
      </c>
      <c r="T396" s="34">
        <f>IF($A396="",NA(),IF(R396&lt;=0,IF(K396&gt;L396,1,IF(K396&lt;L396,0,0.5)),1-NORMDIST(S396,P396+AJUSTE,SIGMA,TRUE)))</f>
        <v/>
      </c>
      <c r="U396" s="34">
        <f>IF($A396="",NA(),1-T396)</f>
        <v/>
      </c>
    </row>
    <row r="397"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N397" s="34">
        <f>IF($A397="",NA(),IF(C397&gt;0,D397/C397,0))</f>
        <v/>
      </c>
      <c r="O397" s="34">
        <f>IF($A397="",NA(),IF(E397&gt;0,F397/E397,0))</f>
        <v/>
      </c>
      <c r="P397" s="34">
        <f>IF($A397="",NA(),IF(K397+L397&gt;0,K397/(K397+L397),0.5))</f>
        <v/>
      </c>
      <c r="Q397" s="34">
        <f>IF($A397="",NA(),1-P397)</f>
        <v/>
      </c>
      <c r="R397" s="33">
        <f>IF($A397="",NA(),MAX(0,E397-F397)*IF(G397&gt;0,H397/G397,COMPAREC_PAD)*IF(I397&gt;0,J397/I397,VALIDOS_PAD))</f>
        <v/>
      </c>
      <c r="S397" s="34">
        <f>IF($A397="",NA(),IF(R397&gt;0,0.5-(K397-L397)/(2*R397),0))</f>
        <v/>
      </c>
      <c r="T397" s="34">
        <f>IF($A397="",NA(),IF(R397&lt;=0,IF(K397&gt;L397,1,IF(K397&lt;L397,0,0.5)),1-NORMDIST(S397,P397+AJUSTE,SIGMA,TRUE)))</f>
        <v/>
      </c>
      <c r="U397" s="34">
        <f>IF($A397="",NA(),1-T397)</f>
        <v/>
      </c>
    </row>
    <row r="398">
      <c r="C398" s="33" t="n"/>
      <c r="D398" s="33" t="n"/>
      <c r="E398" s="33" t="n"/>
      <c r="F398" s="33" t="n"/>
      <c r="G398" s="33" t="n"/>
      <c r="H398" s="33" t="n"/>
      <c r="I398" s="33" t="n"/>
      <c r="J398" s="33" t="n"/>
      <c r="K398" s="33" t="n"/>
      <c r="L398" s="33" t="n"/>
      <c r="N398" s="34">
        <f>IF($A398="",NA(),IF(C398&gt;0,D398/C398,0))</f>
        <v/>
      </c>
      <c r="O398" s="34">
        <f>IF($A398="",NA(),IF(E398&gt;0,F398/E398,0))</f>
        <v/>
      </c>
      <c r="P398" s="34">
        <f>IF($A398="",NA(),IF(K398+L398&gt;0,K398/(K398+L398),0.5))</f>
        <v/>
      </c>
      <c r="Q398" s="34">
        <f>IF($A398="",NA(),1-P398)</f>
        <v/>
      </c>
      <c r="R398" s="33">
        <f>IF($A398="",NA(),MAX(0,E398-F398)*IF(G398&gt;0,H398/G398,COMPAREC_PAD)*IF(I398&gt;0,J398/I398,VALIDOS_PAD))</f>
        <v/>
      </c>
      <c r="S398" s="34">
        <f>IF($A398="",NA(),IF(R398&gt;0,0.5-(K398-L398)/(2*R398),0))</f>
        <v/>
      </c>
      <c r="T398" s="34">
        <f>IF($A398="",NA(),IF(R398&lt;=0,IF(K398&gt;L398,1,IF(K398&lt;L398,0,0.5)),1-NORMDIST(S398,P398+AJUSTE,SIGMA,TRUE)))</f>
        <v/>
      </c>
      <c r="U398" s="34">
        <f>IF($A398="",NA(),1-T398)</f>
        <v/>
      </c>
    </row>
    <row r="399">
      <c r="C399" s="33" t="n"/>
      <c r="D399" s="33" t="n"/>
      <c r="E399" s="33" t="n"/>
      <c r="F399" s="33" t="n"/>
      <c r="G399" s="33" t="n"/>
      <c r="H399" s="33" t="n"/>
      <c r="I399" s="33" t="n"/>
      <c r="J399" s="33" t="n"/>
      <c r="K399" s="33" t="n"/>
      <c r="L399" s="33" t="n"/>
      <c r="N399" s="34">
        <f>IF($A399="",NA(),IF(C399&gt;0,D399/C399,0))</f>
        <v/>
      </c>
      <c r="O399" s="34">
        <f>IF($A399="",NA(),IF(E399&gt;0,F399/E399,0))</f>
        <v/>
      </c>
      <c r="P399" s="34">
        <f>IF($A399="",NA(),IF(K399+L399&gt;0,K399/(K399+L399),0.5))</f>
        <v/>
      </c>
      <c r="Q399" s="34">
        <f>IF($A399="",NA(),1-P399)</f>
        <v/>
      </c>
      <c r="R399" s="33">
        <f>IF($A399="",NA(),MAX(0,E399-F399)*IF(G399&gt;0,H399/G399,COMPAREC_PAD)*IF(I399&gt;0,J399/I399,VALIDOS_PAD))</f>
        <v/>
      </c>
      <c r="S399" s="34">
        <f>IF($A399="",NA(),IF(R399&gt;0,0.5-(K399-L399)/(2*R399),0))</f>
        <v/>
      </c>
      <c r="T399" s="34">
        <f>IF($A399="",NA(),IF(R399&lt;=0,IF(K399&gt;L399,1,IF(K399&lt;L399,0,0.5)),1-NORMDIST(S399,P399+AJUSTE,SIGMA,TRUE)))</f>
        <v/>
      </c>
      <c r="U399" s="34">
        <f>IF($A399="",NA(),1-T399)</f>
        <v/>
      </c>
    </row>
    <row r="400"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N400" s="34">
        <f>IF($A400="",NA(),IF(C400&gt;0,D400/C400,0))</f>
        <v/>
      </c>
      <c r="O400" s="34">
        <f>IF($A400="",NA(),IF(E400&gt;0,F400/E400,0))</f>
        <v/>
      </c>
      <c r="P400" s="34">
        <f>IF($A400="",NA(),IF(K400+L400&gt;0,K400/(K400+L400),0.5))</f>
        <v/>
      </c>
      <c r="Q400" s="34">
        <f>IF($A400="",NA(),1-P400)</f>
        <v/>
      </c>
      <c r="R400" s="33">
        <f>IF($A400="",NA(),MAX(0,E400-F400)*IF(G400&gt;0,H400/G400,COMPAREC_PAD)*IF(I400&gt;0,J400/I400,VALIDOS_PAD))</f>
        <v/>
      </c>
      <c r="S400" s="34">
        <f>IF($A400="",NA(),IF(R400&gt;0,0.5-(K400-L400)/(2*R400),0))</f>
        <v/>
      </c>
      <c r="T400" s="34">
        <f>IF($A400="",NA(),IF(R400&lt;=0,IF(K400&gt;L400,1,IF(K400&lt;L400,0,0.5)),1-NORMDIST(S400,P400+AJUSTE,SIGMA,TRUE)))</f>
        <v/>
      </c>
      <c r="U400" s="34">
        <f>IF($A400="",NA(),1-T400)</f>
        <v/>
      </c>
    </row>
    <row r="401"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N401" s="34">
        <f>IF($A401="",NA(),IF(C401&gt;0,D401/C401,0))</f>
        <v/>
      </c>
      <c r="O401" s="34">
        <f>IF($A401="",NA(),IF(E401&gt;0,F401/E401,0))</f>
        <v/>
      </c>
      <c r="P401" s="34">
        <f>IF($A401="",NA(),IF(K401+L401&gt;0,K401/(K401+L401),0.5))</f>
        <v/>
      </c>
      <c r="Q401" s="34">
        <f>IF($A401="",NA(),1-P401)</f>
        <v/>
      </c>
      <c r="R401" s="33">
        <f>IF($A401="",NA(),MAX(0,E401-F401)*IF(G401&gt;0,H401/G401,COMPAREC_PAD)*IF(I401&gt;0,J401/I401,VALIDOS_PAD))</f>
        <v/>
      </c>
      <c r="S401" s="34">
        <f>IF($A401="",NA(),IF(R401&gt;0,0.5-(K401-L401)/(2*R401),0))</f>
        <v/>
      </c>
      <c r="T401" s="34">
        <f>IF($A401="",NA(),IF(R401&lt;=0,IF(K401&gt;L401,1,IF(K401&lt;L401,0,0.5)),1-NORMDIST(S401,P401+AJUSTE,SIGMA,TRUE)))</f>
        <v/>
      </c>
      <c r="U401" s="34">
        <f>IF($A401="",NA(),1-T401)</f>
        <v/>
      </c>
    </row>
    <row r="402"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  <c r="N402" s="34">
        <f>IF($A402="",NA(),IF(C402&gt;0,D402/C402,0))</f>
        <v/>
      </c>
      <c r="O402" s="34">
        <f>IF($A402="",NA(),IF(E402&gt;0,F402/E402,0))</f>
        <v/>
      </c>
      <c r="P402" s="34">
        <f>IF($A402="",NA(),IF(K402+L402&gt;0,K402/(K402+L402),0.5))</f>
        <v/>
      </c>
      <c r="Q402" s="34">
        <f>IF($A402="",NA(),1-P402)</f>
        <v/>
      </c>
      <c r="R402" s="33">
        <f>IF($A402="",NA(),MAX(0,E402-F402)*IF(G402&gt;0,H402/G402,COMPAREC_PAD)*IF(I402&gt;0,J402/I402,VALIDOS_PAD))</f>
        <v/>
      </c>
      <c r="S402" s="34">
        <f>IF($A402="",NA(),IF(R402&gt;0,0.5-(K402-L402)/(2*R402),0))</f>
        <v/>
      </c>
      <c r="T402" s="34">
        <f>IF($A402="",NA(),IF(R402&lt;=0,IF(K402&gt;L402,1,IF(K402&lt;L402,0,0.5)),1-NORMDIST(S402,P402+AJUSTE,SIGMA,TRUE)))</f>
        <v/>
      </c>
      <c r="U402" s="34">
        <f>IF($A402="",NA(),1-T402)</f>
        <v/>
      </c>
    </row>
    <row r="403"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3" t="n"/>
      <c r="N403" s="34">
        <f>IF($A403="",NA(),IF(C403&gt;0,D403/C403,0))</f>
        <v/>
      </c>
      <c r="O403" s="34">
        <f>IF($A403="",NA(),IF(E403&gt;0,F403/E403,0))</f>
        <v/>
      </c>
      <c r="P403" s="34">
        <f>IF($A403="",NA(),IF(K403+L403&gt;0,K403/(K403+L403),0.5))</f>
        <v/>
      </c>
      <c r="Q403" s="34">
        <f>IF($A403="",NA(),1-P403)</f>
        <v/>
      </c>
      <c r="R403" s="33">
        <f>IF($A403="",NA(),MAX(0,E403-F403)*IF(G403&gt;0,H403/G403,COMPAREC_PAD)*IF(I403&gt;0,J403/I403,VALIDOS_PAD))</f>
        <v/>
      </c>
      <c r="S403" s="34">
        <f>IF($A403="",NA(),IF(R403&gt;0,0.5-(K403-L403)/(2*R403),0))</f>
        <v/>
      </c>
      <c r="T403" s="34">
        <f>IF($A403="",NA(),IF(R403&lt;=0,IF(K403&gt;L403,1,IF(K403&lt;L403,0,0.5)),1-NORMDIST(S403,P403+AJUSTE,SIGMA,TRUE)))</f>
        <v/>
      </c>
      <c r="U403" s="34">
        <f>IF($A403="",NA(),1-T403)</f>
        <v/>
      </c>
    </row>
    <row r="404"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  <c r="N404" s="34">
        <f>IF($A404="",NA(),IF(C404&gt;0,D404/C404,0))</f>
        <v/>
      </c>
      <c r="O404" s="34">
        <f>IF($A404="",NA(),IF(E404&gt;0,F404/E404,0))</f>
        <v/>
      </c>
      <c r="P404" s="34">
        <f>IF($A404="",NA(),IF(K404+L404&gt;0,K404/(K404+L404),0.5))</f>
        <v/>
      </c>
      <c r="Q404" s="34">
        <f>IF($A404="",NA(),1-P404)</f>
        <v/>
      </c>
      <c r="R404" s="33">
        <f>IF($A404="",NA(),MAX(0,E404-F404)*IF(G404&gt;0,H404/G404,COMPAREC_PAD)*IF(I404&gt;0,J404/I404,VALIDOS_PAD))</f>
        <v/>
      </c>
      <c r="S404" s="34">
        <f>IF($A404="",NA(),IF(R404&gt;0,0.5-(K404-L404)/(2*R404),0))</f>
        <v/>
      </c>
      <c r="T404" s="34">
        <f>IF($A404="",NA(),IF(R404&lt;=0,IF(K404&gt;L404,1,IF(K404&lt;L404,0,0.5)),1-NORMDIST(S404,P404+AJUSTE,SIGMA,TRUE)))</f>
        <v/>
      </c>
      <c r="U404" s="34">
        <f>IF($A404="",NA(),1-T404)</f>
        <v/>
      </c>
    </row>
    <row r="405">
      <c r="C405" s="33" t="n"/>
      <c r="D405" s="33" t="n"/>
      <c r="E405" s="33" t="n"/>
      <c r="F405" s="33" t="n"/>
      <c r="G405" s="33" t="n"/>
      <c r="H405" s="33" t="n"/>
      <c r="I405" s="33" t="n"/>
      <c r="J405" s="33" t="n"/>
      <c r="K405" s="33" t="n"/>
      <c r="L405" s="33" t="n"/>
      <c r="N405" s="34">
        <f>IF($A405="",NA(),IF(C405&gt;0,D405/C405,0))</f>
        <v/>
      </c>
      <c r="O405" s="34">
        <f>IF($A405="",NA(),IF(E405&gt;0,F405/E405,0))</f>
        <v/>
      </c>
      <c r="P405" s="34">
        <f>IF($A405="",NA(),IF(K405+L405&gt;0,K405/(K405+L405),0.5))</f>
        <v/>
      </c>
      <c r="Q405" s="34">
        <f>IF($A405="",NA(),1-P405)</f>
        <v/>
      </c>
      <c r="R405" s="33">
        <f>IF($A405="",NA(),MAX(0,E405-F405)*IF(G405&gt;0,H405/G405,COMPAREC_PAD)*IF(I405&gt;0,J405/I405,VALIDOS_PAD))</f>
        <v/>
      </c>
      <c r="S405" s="34">
        <f>IF($A405="",NA(),IF(R405&gt;0,0.5-(K405-L405)/(2*R405),0))</f>
        <v/>
      </c>
      <c r="T405" s="34">
        <f>IF($A405="",NA(),IF(R405&lt;=0,IF(K405&gt;L405,1,IF(K405&lt;L405,0,0.5)),1-NORMDIST(S405,P405+AJUSTE,SIGMA,TRUE)))</f>
        <v/>
      </c>
      <c r="U405" s="34">
        <f>IF($A405="",NA(),1-T405)</f>
        <v/>
      </c>
    </row>
    <row r="406">
      <c r="C406" s="33" t="n"/>
      <c r="D406" s="33" t="n"/>
      <c r="E406" s="33" t="n"/>
      <c r="F406" s="33" t="n"/>
      <c r="G406" s="33" t="n"/>
      <c r="H406" s="33" t="n"/>
      <c r="I406" s="33" t="n"/>
      <c r="J406" s="33" t="n"/>
      <c r="K406" s="33" t="n"/>
      <c r="L406" s="33" t="n"/>
      <c r="N406" s="34">
        <f>IF($A406="",NA(),IF(C406&gt;0,D406/C406,0))</f>
        <v/>
      </c>
      <c r="O406" s="34">
        <f>IF($A406="",NA(),IF(E406&gt;0,F406/E406,0))</f>
        <v/>
      </c>
      <c r="P406" s="34">
        <f>IF($A406="",NA(),IF(K406+L406&gt;0,K406/(K406+L406),0.5))</f>
        <v/>
      </c>
      <c r="Q406" s="34">
        <f>IF($A406="",NA(),1-P406)</f>
        <v/>
      </c>
      <c r="R406" s="33">
        <f>IF($A406="",NA(),MAX(0,E406-F406)*IF(G406&gt;0,H406/G406,COMPAREC_PAD)*IF(I406&gt;0,J406/I406,VALIDOS_PAD))</f>
        <v/>
      </c>
      <c r="S406" s="34">
        <f>IF($A406="",NA(),IF(R406&gt;0,0.5-(K406-L406)/(2*R406),0))</f>
        <v/>
      </c>
      <c r="T406" s="34">
        <f>IF($A406="",NA(),IF(R406&lt;=0,IF(K406&gt;L406,1,IF(K406&lt;L406,0,0.5)),1-NORMDIST(S406,P406+AJUSTE,SIGMA,TRUE)))</f>
        <v/>
      </c>
      <c r="U406" s="34">
        <f>IF($A406="",NA(),1-T406)</f>
        <v/>
      </c>
    </row>
    <row r="407">
      <c r="C407" s="33" t="n"/>
      <c r="D407" s="33" t="n"/>
      <c r="E407" s="33" t="n"/>
      <c r="F407" s="33" t="n"/>
      <c r="G407" s="33" t="n"/>
      <c r="H407" s="33" t="n"/>
      <c r="I407" s="33" t="n"/>
      <c r="J407" s="33" t="n"/>
      <c r="K407" s="33" t="n"/>
      <c r="L407" s="33" t="n"/>
      <c r="N407" s="34">
        <f>IF($A407="",NA(),IF(C407&gt;0,D407/C407,0))</f>
        <v/>
      </c>
      <c r="O407" s="34">
        <f>IF($A407="",NA(),IF(E407&gt;0,F407/E407,0))</f>
        <v/>
      </c>
      <c r="P407" s="34">
        <f>IF($A407="",NA(),IF(K407+L407&gt;0,K407/(K407+L407),0.5))</f>
        <v/>
      </c>
      <c r="Q407" s="34">
        <f>IF($A407="",NA(),1-P407)</f>
        <v/>
      </c>
      <c r="R407" s="33">
        <f>IF($A407="",NA(),MAX(0,E407-F407)*IF(G407&gt;0,H407/G407,COMPAREC_PAD)*IF(I407&gt;0,J407/I407,VALIDOS_PAD))</f>
        <v/>
      </c>
      <c r="S407" s="34">
        <f>IF($A407="",NA(),IF(R407&gt;0,0.5-(K407-L407)/(2*R407),0))</f>
        <v/>
      </c>
      <c r="T407" s="34">
        <f>IF($A407="",NA(),IF(R407&lt;=0,IF(K407&gt;L407,1,IF(K407&lt;L407,0,0.5)),1-NORMDIST(S407,P407+AJUSTE,SIGMA,TRUE)))</f>
        <v/>
      </c>
      <c r="U407" s="34">
        <f>IF($A407="",NA(),1-T407)</f>
        <v/>
      </c>
    </row>
    <row r="408"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  <c r="N408" s="34">
        <f>IF($A408="",NA(),IF(C408&gt;0,D408/C408,0))</f>
        <v/>
      </c>
      <c r="O408" s="34">
        <f>IF($A408="",NA(),IF(E408&gt;0,F408/E408,0))</f>
        <v/>
      </c>
      <c r="P408" s="34">
        <f>IF($A408="",NA(),IF(K408+L408&gt;0,K408/(K408+L408),0.5))</f>
        <v/>
      </c>
      <c r="Q408" s="34">
        <f>IF($A408="",NA(),1-P408)</f>
        <v/>
      </c>
      <c r="R408" s="33">
        <f>IF($A408="",NA(),MAX(0,E408-F408)*IF(G408&gt;0,H408/G408,COMPAREC_PAD)*IF(I408&gt;0,J408/I408,VALIDOS_PAD))</f>
        <v/>
      </c>
      <c r="S408" s="34">
        <f>IF($A408="",NA(),IF(R408&gt;0,0.5-(K408-L408)/(2*R408),0))</f>
        <v/>
      </c>
      <c r="T408" s="34">
        <f>IF($A408="",NA(),IF(R408&lt;=0,IF(K408&gt;L408,1,IF(K408&lt;L408,0,0.5)),1-NORMDIST(S408,P408+AJUSTE,SIGMA,TRUE)))</f>
        <v/>
      </c>
      <c r="U408" s="34">
        <f>IF($A408="",NA(),1-T408)</f>
        <v/>
      </c>
    </row>
    <row r="409"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3" t="n"/>
      <c r="N409" s="34">
        <f>IF($A409="",NA(),IF(C409&gt;0,D409/C409,0))</f>
        <v/>
      </c>
      <c r="O409" s="34">
        <f>IF($A409="",NA(),IF(E409&gt;0,F409/E409,0))</f>
        <v/>
      </c>
      <c r="P409" s="34">
        <f>IF($A409="",NA(),IF(K409+L409&gt;0,K409/(K409+L409),0.5))</f>
        <v/>
      </c>
      <c r="Q409" s="34">
        <f>IF($A409="",NA(),1-P409)</f>
        <v/>
      </c>
      <c r="R409" s="33">
        <f>IF($A409="",NA(),MAX(0,E409-F409)*IF(G409&gt;0,H409/G409,COMPAREC_PAD)*IF(I409&gt;0,J409/I409,VALIDOS_PAD))</f>
        <v/>
      </c>
      <c r="S409" s="34">
        <f>IF($A409="",NA(),IF(R409&gt;0,0.5-(K409-L409)/(2*R409),0))</f>
        <v/>
      </c>
      <c r="T409" s="34">
        <f>IF($A409="",NA(),IF(R409&lt;=0,IF(K409&gt;L409,1,IF(K409&lt;L409,0,0.5)),1-NORMDIST(S409,P409+AJUSTE,SIGMA,TRUE)))</f>
        <v/>
      </c>
      <c r="U409" s="34">
        <f>IF($A409="",NA(),1-T409)</f>
        <v/>
      </c>
    </row>
    <row r="410">
      <c r="C410" s="33" t="n"/>
      <c r="D410" s="33" t="n"/>
      <c r="E410" s="33" t="n"/>
      <c r="F410" s="33" t="n"/>
      <c r="G410" s="33" t="n"/>
      <c r="H410" s="33" t="n"/>
      <c r="I410" s="33" t="n"/>
      <c r="J410" s="33" t="n"/>
      <c r="K410" s="33" t="n"/>
      <c r="L410" s="33" t="n"/>
      <c r="N410" s="34">
        <f>IF($A410="",NA(),IF(C410&gt;0,D410/C410,0))</f>
        <v/>
      </c>
      <c r="O410" s="34">
        <f>IF($A410="",NA(),IF(E410&gt;0,F410/E410,0))</f>
        <v/>
      </c>
      <c r="P410" s="34">
        <f>IF($A410="",NA(),IF(K410+L410&gt;0,K410/(K410+L410),0.5))</f>
        <v/>
      </c>
      <c r="Q410" s="34">
        <f>IF($A410="",NA(),1-P410)</f>
        <v/>
      </c>
      <c r="R410" s="33">
        <f>IF($A410="",NA(),MAX(0,E410-F410)*IF(G410&gt;0,H410/G410,COMPAREC_PAD)*IF(I410&gt;0,J410/I410,VALIDOS_PAD))</f>
        <v/>
      </c>
      <c r="S410" s="34">
        <f>IF($A410="",NA(),IF(R410&gt;0,0.5-(K410-L410)/(2*R410),0))</f>
        <v/>
      </c>
      <c r="T410" s="34">
        <f>IF($A410="",NA(),IF(R410&lt;=0,IF(K410&gt;L410,1,IF(K410&lt;L410,0,0.5)),1-NORMDIST(S410,P410+AJUSTE,SIGMA,TRUE)))</f>
        <v/>
      </c>
      <c r="U410" s="34">
        <f>IF($A410="",NA(),1-T410)</f>
        <v/>
      </c>
    </row>
    <row r="411">
      <c r="C411" s="33" t="n"/>
      <c r="D411" s="33" t="n"/>
      <c r="E411" s="33" t="n"/>
      <c r="F411" s="33" t="n"/>
      <c r="G411" s="33" t="n"/>
      <c r="H411" s="33" t="n"/>
      <c r="I411" s="33" t="n"/>
      <c r="J411" s="33" t="n"/>
      <c r="K411" s="33" t="n"/>
      <c r="L411" s="33" t="n"/>
      <c r="N411" s="34">
        <f>IF($A411="",NA(),IF(C411&gt;0,D411/C411,0))</f>
        <v/>
      </c>
      <c r="O411" s="34">
        <f>IF($A411="",NA(),IF(E411&gt;0,F411/E411,0))</f>
        <v/>
      </c>
      <c r="P411" s="34">
        <f>IF($A411="",NA(),IF(K411+L411&gt;0,K411/(K411+L411),0.5))</f>
        <v/>
      </c>
      <c r="Q411" s="34">
        <f>IF($A411="",NA(),1-P411)</f>
        <v/>
      </c>
      <c r="R411" s="33">
        <f>IF($A411="",NA(),MAX(0,E411-F411)*IF(G411&gt;0,H411/G411,COMPAREC_PAD)*IF(I411&gt;0,J411/I411,VALIDOS_PAD))</f>
        <v/>
      </c>
      <c r="S411" s="34">
        <f>IF($A411="",NA(),IF(R411&gt;0,0.5-(K411-L411)/(2*R411),0))</f>
        <v/>
      </c>
      <c r="T411" s="34">
        <f>IF($A411="",NA(),IF(R411&lt;=0,IF(K411&gt;L411,1,IF(K411&lt;L411,0,0.5)),1-NORMDIST(S411,P411+AJUSTE,SIGMA,TRUE)))</f>
        <v/>
      </c>
      <c r="U411" s="34">
        <f>IF($A411="",NA(),1-T411)</f>
        <v/>
      </c>
    </row>
    <row r="412">
      <c r="C412" s="33" t="n"/>
      <c r="D412" s="33" t="n"/>
      <c r="E412" s="33" t="n"/>
      <c r="F412" s="33" t="n"/>
      <c r="G412" s="33" t="n"/>
      <c r="H412" s="33" t="n"/>
      <c r="I412" s="33" t="n"/>
      <c r="J412" s="33" t="n"/>
      <c r="K412" s="33" t="n"/>
      <c r="L412" s="33" t="n"/>
      <c r="N412" s="34">
        <f>IF($A412="",NA(),IF(C412&gt;0,D412/C412,0))</f>
        <v/>
      </c>
      <c r="O412" s="34">
        <f>IF($A412="",NA(),IF(E412&gt;0,F412/E412,0))</f>
        <v/>
      </c>
      <c r="P412" s="34">
        <f>IF($A412="",NA(),IF(K412+L412&gt;0,K412/(K412+L412),0.5))</f>
        <v/>
      </c>
      <c r="Q412" s="34">
        <f>IF($A412="",NA(),1-P412)</f>
        <v/>
      </c>
      <c r="R412" s="33">
        <f>IF($A412="",NA(),MAX(0,E412-F412)*IF(G412&gt;0,H412/G412,COMPAREC_PAD)*IF(I412&gt;0,J412/I412,VALIDOS_PAD))</f>
        <v/>
      </c>
      <c r="S412" s="34">
        <f>IF($A412="",NA(),IF(R412&gt;0,0.5-(K412-L412)/(2*R412),0))</f>
        <v/>
      </c>
      <c r="T412" s="34">
        <f>IF($A412="",NA(),IF(R412&lt;=0,IF(K412&gt;L412,1,IF(K412&lt;L412,0,0.5)),1-NORMDIST(S412,P412+AJUSTE,SIGMA,TRUE)))</f>
        <v/>
      </c>
      <c r="U412" s="34">
        <f>IF($A412="",NA(),1-T412)</f>
        <v/>
      </c>
    </row>
    <row r="413">
      <c r="C413" s="33" t="n"/>
      <c r="D413" s="33" t="n"/>
      <c r="E413" s="33" t="n"/>
      <c r="F413" s="33" t="n"/>
      <c r="G413" s="33" t="n"/>
      <c r="H413" s="33" t="n"/>
      <c r="I413" s="33" t="n"/>
      <c r="J413" s="33" t="n"/>
      <c r="K413" s="33" t="n"/>
      <c r="L413" s="33" t="n"/>
      <c r="N413" s="34">
        <f>IF($A413="",NA(),IF(C413&gt;0,D413/C413,0))</f>
        <v/>
      </c>
      <c r="O413" s="34">
        <f>IF($A413="",NA(),IF(E413&gt;0,F413/E413,0))</f>
        <v/>
      </c>
      <c r="P413" s="34">
        <f>IF($A413="",NA(),IF(K413+L413&gt;0,K413/(K413+L413),0.5))</f>
        <v/>
      </c>
      <c r="Q413" s="34">
        <f>IF($A413="",NA(),1-P413)</f>
        <v/>
      </c>
      <c r="R413" s="33">
        <f>IF($A413="",NA(),MAX(0,E413-F413)*IF(G413&gt;0,H413/G413,COMPAREC_PAD)*IF(I413&gt;0,J413/I413,VALIDOS_PAD))</f>
        <v/>
      </c>
      <c r="S413" s="34">
        <f>IF($A413="",NA(),IF(R413&gt;0,0.5-(K413-L413)/(2*R413),0))</f>
        <v/>
      </c>
      <c r="T413" s="34">
        <f>IF($A413="",NA(),IF(R413&lt;=0,IF(K413&gt;L413,1,IF(K413&lt;L413,0,0.5)),1-NORMDIST(S413,P413+AJUSTE,SIGMA,TRUE)))</f>
        <v/>
      </c>
      <c r="U413" s="34">
        <f>IF($A413="",NA(),1-T413)</f>
        <v/>
      </c>
    </row>
    <row r="414">
      <c r="C414" s="33" t="n"/>
      <c r="D414" s="33" t="n"/>
      <c r="E414" s="33" t="n"/>
      <c r="F414" s="33" t="n"/>
      <c r="G414" s="33" t="n"/>
      <c r="H414" s="33" t="n"/>
      <c r="I414" s="33" t="n"/>
      <c r="J414" s="33" t="n"/>
      <c r="K414" s="33" t="n"/>
      <c r="L414" s="33" t="n"/>
      <c r="N414" s="34">
        <f>IF($A414="",NA(),IF(C414&gt;0,D414/C414,0))</f>
        <v/>
      </c>
      <c r="O414" s="34">
        <f>IF($A414="",NA(),IF(E414&gt;0,F414/E414,0))</f>
        <v/>
      </c>
      <c r="P414" s="34">
        <f>IF($A414="",NA(),IF(K414+L414&gt;0,K414/(K414+L414),0.5))</f>
        <v/>
      </c>
      <c r="Q414" s="34">
        <f>IF($A414="",NA(),1-P414)</f>
        <v/>
      </c>
      <c r="R414" s="33">
        <f>IF($A414="",NA(),MAX(0,E414-F414)*IF(G414&gt;0,H414/G414,COMPAREC_PAD)*IF(I414&gt;0,J414/I414,VALIDOS_PAD))</f>
        <v/>
      </c>
      <c r="S414" s="34">
        <f>IF($A414="",NA(),IF(R414&gt;0,0.5-(K414-L414)/(2*R414),0))</f>
        <v/>
      </c>
      <c r="T414" s="34">
        <f>IF($A414="",NA(),IF(R414&lt;=0,IF(K414&gt;L414,1,IF(K414&lt;L414,0,0.5)),1-NORMDIST(S414,P414+AJUSTE,SIGMA,TRUE)))</f>
        <v/>
      </c>
      <c r="U414" s="34">
        <f>IF($A414="",NA(),1-T414)</f>
        <v/>
      </c>
    </row>
    <row r="415">
      <c r="C415" s="33" t="n"/>
      <c r="D415" s="33" t="n"/>
      <c r="E415" s="33" t="n"/>
      <c r="F415" s="33" t="n"/>
      <c r="G415" s="33" t="n"/>
      <c r="H415" s="33" t="n"/>
      <c r="I415" s="33" t="n"/>
      <c r="J415" s="33" t="n"/>
      <c r="K415" s="33" t="n"/>
      <c r="L415" s="33" t="n"/>
      <c r="N415" s="34">
        <f>IF($A415="",NA(),IF(C415&gt;0,D415/C415,0))</f>
        <v/>
      </c>
      <c r="O415" s="34">
        <f>IF($A415="",NA(),IF(E415&gt;0,F415/E415,0))</f>
        <v/>
      </c>
      <c r="P415" s="34">
        <f>IF($A415="",NA(),IF(K415+L415&gt;0,K415/(K415+L415),0.5))</f>
        <v/>
      </c>
      <c r="Q415" s="34">
        <f>IF($A415="",NA(),1-P415)</f>
        <v/>
      </c>
      <c r="R415" s="33">
        <f>IF($A415="",NA(),MAX(0,E415-F415)*IF(G415&gt;0,H415/G415,COMPAREC_PAD)*IF(I415&gt;0,J415/I415,VALIDOS_PAD))</f>
        <v/>
      </c>
      <c r="S415" s="34">
        <f>IF($A415="",NA(),IF(R415&gt;0,0.5-(K415-L415)/(2*R415),0))</f>
        <v/>
      </c>
      <c r="T415" s="34">
        <f>IF($A415="",NA(),IF(R415&lt;=0,IF(K415&gt;L415,1,IF(K415&lt;L415,0,0.5)),1-NORMDIST(S415,P415+AJUSTE,SIGMA,TRUE)))</f>
        <v/>
      </c>
      <c r="U415" s="34">
        <f>IF($A415="",NA(),1-T415)</f>
        <v/>
      </c>
    </row>
    <row r="416"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N416" s="34">
        <f>IF($A416="",NA(),IF(C416&gt;0,D416/C416,0))</f>
        <v/>
      </c>
      <c r="O416" s="34">
        <f>IF($A416="",NA(),IF(E416&gt;0,F416/E416,0))</f>
        <v/>
      </c>
      <c r="P416" s="34">
        <f>IF($A416="",NA(),IF(K416+L416&gt;0,K416/(K416+L416),0.5))</f>
        <v/>
      </c>
      <c r="Q416" s="34">
        <f>IF($A416="",NA(),1-P416)</f>
        <v/>
      </c>
      <c r="R416" s="33">
        <f>IF($A416="",NA(),MAX(0,E416-F416)*IF(G416&gt;0,H416/G416,COMPAREC_PAD)*IF(I416&gt;0,J416/I416,VALIDOS_PAD))</f>
        <v/>
      </c>
      <c r="S416" s="34">
        <f>IF($A416="",NA(),IF(R416&gt;0,0.5-(K416-L416)/(2*R416),0))</f>
        <v/>
      </c>
      <c r="T416" s="34">
        <f>IF($A416="",NA(),IF(R416&lt;=0,IF(K416&gt;L416,1,IF(K416&lt;L416,0,0.5)),1-NORMDIST(S416,P416+AJUSTE,SIGMA,TRUE)))</f>
        <v/>
      </c>
      <c r="U416" s="34">
        <f>IF($A416="",NA(),1-T416)</f>
        <v/>
      </c>
    </row>
    <row r="417"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N417" s="34">
        <f>IF($A417="",NA(),IF(C417&gt;0,D417/C417,0))</f>
        <v/>
      </c>
      <c r="O417" s="34">
        <f>IF($A417="",NA(),IF(E417&gt;0,F417/E417,0))</f>
        <v/>
      </c>
      <c r="P417" s="34">
        <f>IF($A417="",NA(),IF(K417+L417&gt;0,K417/(K417+L417),0.5))</f>
        <v/>
      </c>
      <c r="Q417" s="34">
        <f>IF($A417="",NA(),1-P417)</f>
        <v/>
      </c>
      <c r="R417" s="33">
        <f>IF($A417="",NA(),MAX(0,E417-F417)*IF(G417&gt;0,H417/G417,COMPAREC_PAD)*IF(I417&gt;0,J417/I417,VALIDOS_PAD))</f>
        <v/>
      </c>
      <c r="S417" s="34">
        <f>IF($A417="",NA(),IF(R417&gt;0,0.5-(K417-L417)/(2*R417),0))</f>
        <v/>
      </c>
      <c r="T417" s="34">
        <f>IF($A417="",NA(),IF(R417&lt;=0,IF(K417&gt;L417,1,IF(K417&lt;L417,0,0.5)),1-NORMDIST(S417,P417+AJUSTE,SIGMA,TRUE)))</f>
        <v/>
      </c>
      <c r="U417" s="34">
        <f>IF($A417="",NA(),1-T417)</f>
        <v/>
      </c>
    </row>
    <row r="418"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N418" s="34">
        <f>IF($A418="",NA(),IF(C418&gt;0,D418/C418,0))</f>
        <v/>
      </c>
      <c r="O418" s="34">
        <f>IF($A418="",NA(),IF(E418&gt;0,F418/E418,0))</f>
        <v/>
      </c>
      <c r="P418" s="34">
        <f>IF($A418="",NA(),IF(K418+L418&gt;0,K418/(K418+L418),0.5))</f>
        <v/>
      </c>
      <c r="Q418" s="34">
        <f>IF($A418="",NA(),1-P418)</f>
        <v/>
      </c>
      <c r="R418" s="33">
        <f>IF($A418="",NA(),MAX(0,E418-F418)*IF(G418&gt;0,H418/G418,COMPAREC_PAD)*IF(I418&gt;0,J418/I418,VALIDOS_PAD))</f>
        <v/>
      </c>
      <c r="S418" s="34">
        <f>IF($A418="",NA(),IF(R418&gt;0,0.5-(K418-L418)/(2*R418),0))</f>
        <v/>
      </c>
      <c r="T418" s="34">
        <f>IF($A418="",NA(),IF(R418&lt;=0,IF(K418&gt;L418,1,IF(K418&lt;L418,0,0.5)),1-NORMDIST(S418,P418+AJUSTE,SIGMA,TRUE)))</f>
        <v/>
      </c>
      <c r="U418" s="34">
        <f>IF($A418="",NA(),1-T418)</f>
        <v/>
      </c>
    </row>
    <row r="419"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N419" s="34">
        <f>IF($A419="",NA(),IF(C419&gt;0,D419/C419,0))</f>
        <v/>
      </c>
      <c r="O419" s="34">
        <f>IF($A419="",NA(),IF(E419&gt;0,F419/E419,0))</f>
        <v/>
      </c>
      <c r="P419" s="34">
        <f>IF($A419="",NA(),IF(K419+L419&gt;0,K419/(K419+L419),0.5))</f>
        <v/>
      </c>
      <c r="Q419" s="34">
        <f>IF($A419="",NA(),1-P419)</f>
        <v/>
      </c>
      <c r="R419" s="33">
        <f>IF($A419="",NA(),MAX(0,E419-F419)*IF(G419&gt;0,H419/G419,COMPAREC_PAD)*IF(I419&gt;0,J419/I419,VALIDOS_PAD))</f>
        <v/>
      </c>
      <c r="S419" s="34">
        <f>IF($A419="",NA(),IF(R419&gt;0,0.5-(K419-L419)/(2*R419),0))</f>
        <v/>
      </c>
      <c r="T419" s="34">
        <f>IF($A419="",NA(),IF(R419&lt;=0,IF(K419&gt;L419,1,IF(K419&lt;L419,0,0.5)),1-NORMDIST(S419,P419+AJUSTE,SIGMA,TRUE)))</f>
        <v/>
      </c>
      <c r="U419" s="34">
        <f>IF($A419="",NA(),1-T419)</f>
        <v/>
      </c>
    </row>
    <row r="420">
      <c r="C420" s="33" t="n"/>
      <c r="D420" s="33" t="n"/>
      <c r="E420" s="33" t="n"/>
      <c r="F420" s="33" t="n"/>
      <c r="G420" s="33" t="n"/>
      <c r="H420" s="33" t="n"/>
      <c r="I420" s="33" t="n"/>
      <c r="J420" s="33" t="n"/>
      <c r="K420" s="33" t="n"/>
      <c r="L420" s="33" t="n"/>
      <c r="N420" s="34">
        <f>IF($A420="",NA(),IF(C420&gt;0,D420/C420,0))</f>
        <v/>
      </c>
      <c r="O420" s="34">
        <f>IF($A420="",NA(),IF(E420&gt;0,F420/E420,0))</f>
        <v/>
      </c>
      <c r="P420" s="34">
        <f>IF($A420="",NA(),IF(K420+L420&gt;0,K420/(K420+L420),0.5))</f>
        <v/>
      </c>
      <c r="Q420" s="34">
        <f>IF($A420="",NA(),1-P420)</f>
        <v/>
      </c>
      <c r="R420" s="33">
        <f>IF($A420="",NA(),MAX(0,E420-F420)*IF(G420&gt;0,H420/G420,COMPAREC_PAD)*IF(I420&gt;0,J420/I420,VALIDOS_PAD))</f>
        <v/>
      </c>
      <c r="S420" s="34">
        <f>IF($A420="",NA(),IF(R420&gt;0,0.5-(K420-L420)/(2*R420),0))</f>
        <v/>
      </c>
      <c r="T420" s="34">
        <f>IF($A420="",NA(),IF(R420&lt;=0,IF(K420&gt;L420,1,IF(K420&lt;L420,0,0.5)),1-NORMDIST(S420,P420+AJUSTE,SIGMA,TRUE)))</f>
        <v/>
      </c>
      <c r="U420" s="34">
        <f>IF($A420="",NA(),1-T420)</f>
        <v/>
      </c>
    </row>
    <row r="421">
      <c r="C421" s="33" t="n"/>
      <c r="D421" s="33" t="n"/>
      <c r="E421" s="33" t="n"/>
      <c r="F421" s="33" t="n"/>
      <c r="G421" s="33" t="n"/>
      <c r="H421" s="33" t="n"/>
      <c r="I421" s="33" t="n"/>
      <c r="J421" s="33" t="n"/>
      <c r="K421" s="33" t="n"/>
      <c r="L421" s="33" t="n"/>
      <c r="N421" s="34">
        <f>IF($A421="",NA(),IF(C421&gt;0,D421/C421,0))</f>
        <v/>
      </c>
      <c r="O421" s="34">
        <f>IF($A421="",NA(),IF(E421&gt;0,F421/E421,0))</f>
        <v/>
      </c>
      <c r="P421" s="34">
        <f>IF($A421="",NA(),IF(K421+L421&gt;0,K421/(K421+L421),0.5))</f>
        <v/>
      </c>
      <c r="Q421" s="34">
        <f>IF($A421="",NA(),1-P421)</f>
        <v/>
      </c>
      <c r="R421" s="33">
        <f>IF($A421="",NA(),MAX(0,E421-F421)*IF(G421&gt;0,H421/G421,COMPAREC_PAD)*IF(I421&gt;0,J421/I421,VALIDOS_PAD))</f>
        <v/>
      </c>
      <c r="S421" s="34">
        <f>IF($A421="",NA(),IF(R421&gt;0,0.5-(K421-L421)/(2*R421),0))</f>
        <v/>
      </c>
      <c r="T421" s="34">
        <f>IF($A421="",NA(),IF(R421&lt;=0,IF(K421&gt;L421,1,IF(K421&lt;L421,0,0.5)),1-NORMDIST(S421,P421+AJUSTE,SIGMA,TRUE)))</f>
        <v/>
      </c>
      <c r="U421" s="34">
        <f>IF($A421="",NA(),1-T421)</f>
        <v/>
      </c>
    </row>
    <row r="422"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N422" s="34">
        <f>IF($A422="",NA(),IF(C422&gt;0,D422/C422,0))</f>
        <v/>
      </c>
      <c r="O422" s="34">
        <f>IF($A422="",NA(),IF(E422&gt;0,F422/E422,0))</f>
        <v/>
      </c>
      <c r="P422" s="34">
        <f>IF($A422="",NA(),IF(K422+L422&gt;0,K422/(K422+L422),0.5))</f>
        <v/>
      </c>
      <c r="Q422" s="34">
        <f>IF($A422="",NA(),1-P422)</f>
        <v/>
      </c>
      <c r="R422" s="33">
        <f>IF($A422="",NA(),MAX(0,E422-F422)*IF(G422&gt;0,H422/G422,COMPAREC_PAD)*IF(I422&gt;0,J422/I422,VALIDOS_PAD))</f>
        <v/>
      </c>
      <c r="S422" s="34">
        <f>IF($A422="",NA(),IF(R422&gt;0,0.5-(K422-L422)/(2*R422),0))</f>
        <v/>
      </c>
      <c r="T422" s="34">
        <f>IF($A422="",NA(),IF(R422&lt;=0,IF(K422&gt;L422,1,IF(K422&lt;L422,0,0.5)),1-NORMDIST(S422,P422+AJUSTE,SIGMA,TRUE)))</f>
        <v/>
      </c>
      <c r="U422" s="34">
        <f>IF($A422="",NA(),1-T422)</f>
        <v/>
      </c>
    </row>
    <row r="423"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N423" s="34">
        <f>IF($A423="",NA(),IF(C423&gt;0,D423/C423,0))</f>
        <v/>
      </c>
      <c r="O423" s="34">
        <f>IF($A423="",NA(),IF(E423&gt;0,F423/E423,0))</f>
        <v/>
      </c>
      <c r="P423" s="34">
        <f>IF($A423="",NA(),IF(K423+L423&gt;0,K423/(K423+L423),0.5))</f>
        <v/>
      </c>
      <c r="Q423" s="34">
        <f>IF($A423="",NA(),1-P423)</f>
        <v/>
      </c>
      <c r="R423" s="33">
        <f>IF($A423="",NA(),MAX(0,E423-F423)*IF(G423&gt;0,H423/G423,COMPAREC_PAD)*IF(I423&gt;0,J423/I423,VALIDOS_PAD))</f>
        <v/>
      </c>
      <c r="S423" s="34">
        <f>IF($A423="",NA(),IF(R423&gt;0,0.5-(K423-L423)/(2*R423),0))</f>
        <v/>
      </c>
      <c r="T423" s="34">
        <f>IF($A423="",NA(),IF(R423&lt;=0,IF(K423&gt;L423,1,IF(K423&lt;L423,0,0.5)),1-NORMDIST(S423,P423+AJUSTE,SIGMA,TRUE)))</f>
        <v/>
      </c>
      <c r="U423" s="34">
        <f>IF($A423="",NA(),1-T423)</f>
        <v/>
      </c>
    </row>
    <row r="424"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  <c r="N424" s="34">
        <f>IF($A424="",NA(),IF(C424&gt;0,D424/C424,0))</f>
        <v/>
      </c>
      <c r="O424" s="34">
        <f>IF($A424="",NA(),IF(E424&gt;0,F424/E424,0))</f>
        <v/>
      </c>
      <c r="P424" s="34">
        <f>IF($A424="",NA(),IF(K424+L424&gt;0,K424/(K424+L424),0.5))</f>
        <v/>
      </c>
      <c r="Q424" s="34">
        <f>IF($A424="",NA(),1-P424)</f>
        <v/>
      </c>
      <c r="R424" s="33">
        <f>IF($A424="",NA(),MAX(0,E424-F424)*IF(G424&gt;0,H424/G424,COMPAREC_PAD)*IF(I424&gt;0,J424/I424,VALIDOS_PAD))</f>
        <v/>
      </c>
      <c r="S424" s="34">
        <f>IF($A424="",NA(),IF(R424&gt;0,0.5-(K424-L424)/(2*R424),0))</f>
        <v/>
      </c>
      <c r="T424" s="34">
        <f>IF($A424="",NA(),IF(R424&lt;=0,IF(K424&gt;L424,1,IF(K424&lt;L424,0,0.5)),1-NORMDIST(S424,P424+AJUSTE,SIGMA,TRUE)))</f>
        <v/>
      </c>
      <c r="U424" s="34">
        <f>IF($A424="",NA(),1-T424)</f>
        <v/>
      </c>
    </row>
    <row r="425"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N425" s="34">
        <f>IF($A425="",NA(),IF(C425&gt;0,D425/C425,0))</f>
        <v/>
      </c>
      <c r="O425" s="34">
        <f>IF($A425="",NA(),IF(E425&gt;0,F425/E425,0))</f>
        <v/>
      </c>
      <c r="P425" s="34">
        <f>IF($A425="",NA(),IF(K425+L425&gt;0,K425/(K425+L425),0.5))</f>
        <v/>
      </c>
      <c r="Q425" s="34">
        <f>IF($A425="",NA(),1-P425)</f>
        <v/>
      </c>
      <c r="R425" s="33">
        <f>IF($A425="",NA(),MAX(0,E425-F425)*IF(G425&gt;0,H425/G425,COMPAREC_PAD)*IF(I425&gt;0,J425/I425,VALIDOS_PAD))</f>
        <v/>
      </c>
      <c r="S425" s="34">
        <f>IF($A425="",NA(),IF(R425&gt;0,0.5-(K425-L425)/(2*R425),0))</f>
        <v/>
      </c>
      <c r="T425" s="34">
        <f>IF($A425="",NA(),IF(R425&lt;=0,IF(K425&gt;L425,1,IF(K425&lt;L425,0,0.5)),1-NORMDIST(S425,P425+AJUSTE,SIGMA,TRUE)))</f>
        <v/>
      </c>
      <c r="U425" s="34">
        <f>IF($A425="",NA(),1-T425)</f>
        <v/>
      </c>
    </row>
    <row r="426"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  <c r="N426" s="34">
        <f>IF($A426="",NA(),IF(C426&gt;0,D426/C426,0))</f>
        <v/>
      </c>
      <c r="O426" s="34">
        <f>IF($A426="",NA(),IF(E426&gt;0,F426/E426,0))</f>
        <v/>
      </c>
      <c r="P426" s="34">
        <f>IF($A426="",NA(),IF(K426+L426&gt;0,K426/(K426+L426),0.5))</f>
        <v/>
      </c>
      <c r="Q426" s="34">
        <f>IF($A426="",NA(),1-P426)</f>
        <v/>
      </c>
      <c r="R426" s="33">
        <f>IF($A426="",NA(),MAX(0,E426-F426)*IF(G426&gt;0,H426/G426,COMPAREC_PAD)*IF(I426&gt;0,J426/I426,VALIDOS_PAD))</f>
        <v/>
      </c>
      <c r="S426" s="34">
        <f>IF($A426="",NA(),IF(R426&gt;0,0.5-(K426-L426)/(2*R426),0))</f>
        <v/>
      </c>
      <c r="T426" s="34">
        <f>IF($A426="",NA(),IF(R426&lt;=0,IF(K426&gt;L426,1,IF(K426&lt;L426,0,0.5)),1-NORMDIST(S426,P426+AJUSTE,SIGMA,TRUE)))</f>
        <v/>
      </c>
      <c r="U426" s="34">
        <f>IF($A426="",NA(),1-T426)</f>
        <v/>
      </c>
    </row>
    <row r="427"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n"/>
      <c r="L427" s="33" t="n"/>
      <c r="N427" s="34">
        <f>IF($A427="",NA(),IF(C427&gt;0,D427/C427,0))</f>
        <v/>
      </c>
      <c r="O427" s="34">
        <f>IF($A427="",NA(),IF(E427&gt;0,F427/E427,0))</f>
        <v/>
      </c>
      <c r="P427" s="34">
        <f>IF($A427="",NA(),IF(K427+L427&gt;0,K427/(K427+L427),0.5))</f>
        <v/>
      </c>
      <c r="Q427" s="34">
        <f>IF($A427="",NA(),1-P427)</f>
        <v/>
      </c>
      <c r="R427" s="33">
        <f>IF($A427="",NA(),MAX(0,E427-F427)*IF(G427&gt;0,H427/G427,COMPAREC_PAD)*IF(I427&gt;0,J427/I427,VALIDOS_PAD))</f>
        <v/>
      </c>
      <c r="S427" s="34">
        <f>IF($A427="",NA(),IF(R427&gt;0,0.5-(K427-L427)/(2*R427),0))</f>
        <v/>
      </c>
      <c r="T427" s="34">
        <f>IF($A427="",NA(),IF(R427&lt;=0,IF(K427&gt;L427,1,IF(K427&lt;L427,0,0.5)),1-NORMDIST(S427,P427+AJUSTE,SIGMA,TRUE)))</f>
        <v/>
      </c>
      <c r="U427" s="34">
        <f>IF($A427="",NA(),1-T427)</f>
        <v/>
      </c>
    </row>
    <row r="428">
      <c r="C428" s="33" t="n"/>
      <c r="D428" s="33" t="n"/>
      <c r="E428" s="33" t="n"/>
      <c r="F428" s="33" t="n"/>
      <c r="G428" s="33" t="n"/>
      <c r="H428" s="33" t="n"/>
      <c r="I428" s="33" t="n"/>
      <c r="J428" s="33" t="n"/>
      <c r="K428" s="33" t="n"/>
      <c r="L428" s="33" t="n"/>
      <c r="N428" s="34">
        <f>IF($A428="",NA(),IF(C428&gt;0,D428/C428,0))</f>
        <v/>
      </c>
      <c r="O428" s="34">
        <f>IF($A428="",NA(),IF(E428&gt;0,F428/E428,0))</f>
        <v/>
      </c>
      <c r="P428" s="34">
        <f>IF($A428="",NA(),IF(K428+L428&gt;0,K428/(K428+L428),0.5))</f>
        <v/>
      </c>
      <c r="Q428" s="34">
        <f>IF($A428="",NA(),1-P428)</f>
        <v/>
      </c>
      <c r="R428" s="33">
        <f>IF($A428="",NA(),MAX(0,E428-F428)*IF(G428&gt;0,H428/G428,COMPAREC_PAD)*IF(I428&gt;0,J428/I428,VALIDOS_PAD))</f>
        <v/>
      </c>
      <c r="S428" s="34">
        <f>IF($A428="",NA(),IF(R428&gt;0,0.5-(K428-L428)/(2*R428),0))</f>
        <v/>
      </c>
      <c r="T428" s="34">
        <f>IF($A428="",NA(),IF(R428&lt;=0,IF(K428&gt;L428,1,IF(K428&lt;L428,0,0.5)),1-NORMDIST(S428,P428+AJUSTE,SIGMA,TRUE)))</f>
        <v/>
      </c>
      <c r="U428" s="34">
        <f>IF($A428="",NA(),1-T428)</f>
        <v/>
      </c>
    </row>
    <row r="429"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  <c r="L429" s="33" t="n"/>
      <c r="N429" s="34">
        <f>IF($A429="",NA(),IF(C429&gt;0,D429/C429,0))</f>
        <v/>
      </c>
      <c r="O429" s="34">
        <f>IF($A429="",NA(),IF(E429&gt;0,F429/E429,0))</f>
        <v/>
      </c>
      <c r="P429" s="34">
        <f>IF($A429="",NA(),IF(K429+L429&gt;0,K429/(K429+L429),0.5))</f>
        <v/>
      </c>
      <c r="Q429" s="34">
        <f>IF($A429="",NA(),1-P429)</f>
        <v/>
      </c>
      <c r="R429" s="33">
        <f>IF($A429="",NA(),MAX(0,E429-F429)*IF(G429&gt;0,H429/G429,COMPAREC_PAD)*IF(I429&gt;0,J429/I429,VALIDOS_PAD))</f>
        <v/>
      </c>
      <c r="S429" s="34">
        <f>IF($A429="",NA(),IF(R429&gt;0,0.5-(K429-L429)/(2*R429),0))</f>
        <v/>
      </c>
      <c r="T429" s="34">
        <f>IF($A429="",NA(),IF(R429&lt;=0,IF(K429&gt;L429,1,IF(K429&lt;L429,0,0.5)),1-NORMDIST(S429,P429+AJUSTE,SIGMA,TRUE)))</f>
        <v/>
      </c>
      <c r="U429" s="34">
        <f>IF($A429="",NA(),1-T429)</f>
        <v/>
      </c>
    </row>
    <row r="430">
      <c r="C430" s="33" t="n"/>
      <c r="D430" s="33" t="n"/>
      <c r="E430" s="33" t="n"/>
      <c r="F430" s="33" t="n"/>
      <c r="G430" s="33" t="n"/>
      <c r="H430" s="33" t="n"/>
      <c r="I430" s="33" t="n"/>
      <c r="J430" s="33" t="n"/>
      <c r="K430" s="33" t="n"/>
      <c r="L430" s="33" t="n"/>
      <c r="N430" s="34">
        <f>IF($A430="",NA(),IF(C430&gt;0,D430/C430,0))</f>
        <v/>
      </c>
      <c r="O430" s="34">
        <f>IF($A430="",NA(),IF(E430&gt;0,F430/E430,0))</f>
        <v/>
      </c>
      <c r="P430" s="34">
        <f>IF($A430="",NA(),IF(K430+L430&gt;0,K430/(K430+L430),0.5))</f>
        <v/>
      </c>
      <c r="Q430" s="34">
        <f>IF($A430="",NA(),1-P430)</f>
        <v/>
      </c>
      <c r="R430" s="33">
        <f>IF($A430="",NA(),MAX(0,E430-F430)*IF(G430&gt;0,H430/G430,COMPAREC_PAD)*IF(I430&gt;0,J430/I430,VALIDOS_PAD))</f>
        <v/>
      </c>
      <c r="S430" s="34">
        <f>IF($A430="",NA(),IF(R430&gt;0,0.5-(K430-L430)/(2*R430),0))</f>
        <v/>
      </c>
      <c r="T430" s="34">
        <f>IF($A430="",NA(),IF(R430&lt;=0,IF(K430&gt;L430,1,IF(K430&lt;L430,0,0.5)),1-NORMDIST(S430,P430+AJUSTE,SIGMA,TRUE)))</f>
        <v/>
      </c>
      <c r="U430" s="34">
        <f>IF($A430="",NA(),1-T430)</f>
        <v/>
      </c>
    </row>
    <row r="431"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N431" s="34">
        <f>IF($A431="",NA(),IF(C431&gt;0,D431/C431,0))</f>
        <v/>
      </c>
      <c r="O431" s="34">
        <f>IF($A431="",NA(),IF(E431&gt;0,F431/E431,0))</f>
        <v/>
      </c>
      <c r="P431" s="34">
        <f>IF($A431="",NA(),IF(K431+L431&gt;0,K431/(K431+L431),0.5))</f>
        <v/>
      </c>
      <c r="Q431" s="34">
        <f>IF($A431="",NA(),1-P431)</f>
        <v/>
      </c>
      <c r="R431" s="33">
        <f>IF($A431="",NA(),MAX(0,E431-F431)*IF(G431&gt;0,H431/G431,COMPAREC_PAD)*IF(I431&gt;0,J431/I431,VALIDOS_PAD))</f>
        <v/>
      </c>
      <c r="S431" s="34">
        <f>IF($A431="",NA(),IF(R431&gt;0,0.5-(K431-L431)/(2*R431),0))</f>
        <v/>
      </c>
      <c r="T431" s="34">
        <f>IF($A431="",NA(),IF(R431&lt;=0,IF(K431&gt;L431,1,IF(K431&lt;L431,0,0.5)),1-NORMDIST(S431,P431+AJUSTE,SIGMA,TRUE)))</f>
        <v/>
      </c>
      <c r="U431" s="34">
        <f>IF($A431="",NA(),1-T431)</f>
        <v/>
      </c>
    </row>
    <row r="432"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N432" s="34">
        <f>IF($A432="",NA(),IF(C432&gt;0,D432/C432,0))</f>
        <v/>
      </c>
      <c r="O432" s="34">
        <f>IF($A432="",NA(),IF(E432&gt;0,F432/E432,0))</f>
        <v/>
      </c>
      <c r="P432" s="34">
        <f>IF($A432="",NA(),IF(K432+L432&gt;0,K432/(K432+L432),0.5))</f>
        <v/>
      </c>
      <c r="Q432" s="34">
        <f>IF($A432="",NA(),1-P432)</f>
        <v/>
      </c>
      <c r="R432" s="33">
        <f>IF($A432="",NA(),MAX(0,E432-F432)*IF(G432&gt;0,H432/G432,COMPAREC_PAD)*IF(I432&gt;0,J432/I432,VALIDOS_PAD))</f>
        <v/>
      </c>
      <c r="S432" s="34">
        <f>IF($A432="",NA(),IF(R432&gt;0,0.5-(K432-L432)/(2*R432),0))</f>
        <v/>
      </c>
      <c r="T432" s="34">
        <f>IF($A432="",NA(),IF(R432&lt;=0,IF(K432&gt;L432,1,IF(K432&lt;L432,0,0.5)),1-NORMDIST(S432,P432+AJUSTE,SIGMA,TRUE)))</f>
        <v/>
      </c>
      <c r="U432" s="34">
        <f>IF($A432="",NA(),1-T432)</f>
        <v/>
      </c>
    </row>
    <row r="433"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3" t="n"/>
      <c r="N433" s="34">
        <f>IF($A433="",NA(),IF(C433&gt;0,D433/C433,0))</f>
        <v/>
      </c>
      <c r="O433" s="34">
        <f>IF($A433="",NA(),IF(E433&gt;0,F433/E433,0))</f>
        <v/>
      </c>
      <c r="P433" s="34">
        <f>IF($A433="",NA(),IF(K433+L433&gt;0,K433/(K433+L433),0.5))</f>
        <v/>
      </c>
      <c r="Q433" s="34">
        <f>IF($A433="",NA(),1-P433)</f>
        <v/>
      </c>
      <c r="R433" s="33">
        <f>IF($A433="",NA(),MAX(0,E433-F433)*IF(G433&gt;0,H433/G433,COMPAREC_PAD)*IF(I433&gt;0,J433/I433,VALIDOS_PAD))</f>
        <v/>
      </c>
      <c r="S433" s="34">
        <f>IF($A433="",NA(),IF(R433&gt;0,0.5-(K433-L433)/(2*R433),0))</f>
        <v/>
      </c>
      <c r="T433" s="34">
        <f>IF($A433="",NA(),IF(R433&lt;=0,IF(K433&gt;L433,1,IF(K433&lt;L433,0,0.5)),1-NORMDIST(S433,P433+AJUSTE,SIGMA,TRUE)))</f>
        <v/>
      </c>
      <c r="U433" s="34">
        <f>IF($A433="",NA(),1-T433)</f>
        <v/>
      </c>
    </row>
    <row r="434"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  <c r="N434" s="34">
        <f>IF($A434="",NA(),IF(C434&gt;0,D434/C434,0))</f>
        <v/>
      </c>
      <c r="O434" s="34">
        <f>IF($A434="",NA(),IF(E434&gt;0,F434/E434,0))</f>
        <v/>
      </c>
      <c r="P434" s="34">
        <f>IF($A434="",NA(),IF(K434+L434&gt;0,K434/(K434+L434),0.5))</f>
        <v/>
      </c>
      <c r="Q434" s="34">
        <f>IF($A434="",NA(),1-P434)</f>
        <v/>
      </c>
      <c r="R434" s="33">
        <f>IF($A434="",NA(),MAX(0,E434-F434)*IF(G434&gt;0,H434/G434,COMPAREC_PAD)*IF(I434&gt;0,J434/I434,VALIDOS_PAD))</f>
        <v/>
      </c>
      <c r="S434" s="34">
        <f>IF($A434="",NA(),IF(R434&gt;0,0.5-(K434-L434)/(2*R434),0))</f>
        <v/>
      </c>
      <c r="T434" s="34">
        <f>IF($A434="",NA(),IF(R434&lt;=0,IF(K434&gt;L434,1,IF(K434&lt;L434,0,0.5)),1-NORMDIST(S434,P434+AJUSTE,SIGMA,TRUE)))</f>
        <v/>
      </c>
      <c r="U434" s="34">
        <f>IF($A434="",NA(),1-T434)</f>
        <v/>
      </c>
    </row>
    <row r="435">
      <c r="C435" s="33" t="n"/>
      <c r="D435" s="33" t="n"/>
      <c r="E435" s="33" t="n"/>
      <c r="F435" s="33" t="n"/>
      <c r="G435" s="33" t="n"/>
      <c r="H435" s="33" t="n"/>
      <c r="I435" s="33" t="n"/>
      <c r="J435" s="33" t="n"/>
      <c r="K435" s="33" t="n"/>
      <c r="L435" s="33" t="n"/>
      <c r="N435" s="34">
        <f>IF($A435="",NA(),IF(C435&gt;0,D435/C435,0))</f>
        <v/>
      </c>
      <c r="O435" s="34">
        <f>IF($A435="",NA(),IF(E435&gt;0,F435/E435,0))</f>
        <v/>
      </c>
      <c r="P435" s="34">
        <f>IF($A435="",NA(),IF(K435+L435&gt;0,K435/(K435+L435),0.5))</f>
        <v/>
      </c>
      <c r="Q435" s="34">
        <f>IF($A435="",NA(),1-P435)</f>
        <v/>
      </c>
      <c r="R435" s="33">
        <f>IF($A435="",NA(),MAX(0,E435-F435)*IF(G435&gt;0,H435/G435,COMPAREC_PAD)*IF(I435&gt;0,J435/I435,VALIDOS_PAD))</f>
        <v/>
      </c>
      <c r="S435" s="34">
        <f>IF($A435="",NA(),IF(R435&gt;0,0.5-(K435-L435)/(2*R435),0))</f>
        <v/>
      </c>
      <c r="T435" s="34">
        <f>IF($A435="",NA(),IF(R435&lt;=0,IF(K435&gt;L435,1,IF(K435&lt;L435,0,0.5)),1-NORMDIST(S435,P435+AJUSTE,SIGMA,TRUE)))</f>
        <v/>
      </c>
      <c r="U435" s="34">
        <f>IF($A435="",NA(),1-T435)</f>
        <v/>
      </c>
    </row>
    <row r="436">
      <c r="C436" s="33" t="n"/>
      <c r="D436" s="33" t="n"/>
      <c r="E436" s="33" t="n"/>
      <c r="F436" s="33" t="n"/>
      <c r="G436" s="33" t="n"/>
      <c r="H436" s="33" t="n"/>
      <c r="I436" s="33" t="n"/>
      <c r="J436" s="33" t="n"/>
      <c r="K436" s="33" t="n"/>
      <c r="L436" s="33" t="n"/>
      <c r="N436" s="34">
        <f>IF($A436="",NA(),IF(C436&gt;0,D436/C436,0))</f>
        <v/>
      </c>
      <c r="O436" s="34">
        <f>IF($A436="",NA(),IF(E436&gt;0,F436/E436,0))</f>
        <v/>
      </c>
      <c r="P436" s="34">
        <f>IF($A436="",NA(),IF(K436+L436&gt;0,K436/(K436+L436),0.5))</f>
        <v/>
      </c>
      <c r="Q436" s="34">
        <f>IF($A436="",NA(),1-P436)</f>
        <v/>
      </c>
      <c r="R436" s="33">
        <f>IF($A436="",NA(),MAX(0,E436-F436)*IF(G436&gt;0,H436/G436,COMPAREC_PAD)*IF(I436&gt;0,J436/I436,VALIDOS_PAD))</f>
        <v/>
      </c>
      <c r="S436" s="34">
        <f>IF($A436="",NA(),IF(R436&gt;0,0.5-(K436-L436)/(2*R436),0))</f>
        <v/>
      </c>
      <c r="T436" s="34">
        <f>IF($A436="",NA(),IF(R436&lt;=0,IF(K436&gt;L436,1,IF(K436&lt;L436,0,0.5)),1-NORMDIST(S436,P436+AJUSTE,SIGMA,TRUE)))</f>
        <v/>
      </c>
      <c r="U436" s="34">
        <f>IF($A436="",NA(),1-T436)</f>
        <v/>
      </c>
    </row>
    <row r="437"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N437" s="34">
        <f>IF($A437="",NA(),IF(C437&gt;0,D437/C437,0))</f>
        <v/>
      </c>
      <c r="O437" s="34">
        <f>IF($A437="",NA(),IF(E437&gt;0,F437/E437,0))</f>
        <v/>
      </c>
      <c r="P437" s="34">
        <f>IF($A437="",NA(),IF(K437+L437&gt;0,K437/(K437+L437),0.5))</f>
        <v/>
      </c>
      <c r="Q437" s="34">
        <f>IF($A437="",NA(),1-P437)</f>
        <v/>
      </c>
      <c r="R437" s="33">
        <f>IF($A437="",NA(),MAX(0,E437-F437)*IF(G437&gt;0,H437/G437,COMPAREC_PAD)*IF(I437&gt;0,J437/I437,VALIDOS_PAD))</f>
        <v/>
      </c>
      <c r="S437" s="34">
        <f>IF($A437="",NA(),IF(R437&gt;0,0.5-(K437-L437)/(2*R437),0))</f>
        <v/>
      </c>
      <c r="T437" s="34">
        <f>IF($A437="",NA(),IF(R437&lt;=0,IF(K437&gt;L437,1,IF(K437&lt;L437,0,0.5)),1-NORMDIST(S437,P437+AJUSTE,SIGMA,TRUE)))</f>
        <v/>
      </c>
      <c r="U437" s="34">
        <f>IF($A437="",NA(),1-T437)</f>
        <v/>
      </c>
    </row>
    <row r="438"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N438" s="34">
        <f>IF($A438="",NA(),IF(C438&gt;0,D438/C438,0))</f>
        <v/>
      </c>
      <c r="O438" s="34">
        <f>IF($A438="",NA(),IF(E438&gt;0,F438/E438,0))</f>
        <v/>
      </c>
      <c r="P438" s="34">
        <f>IF($A438="",NA(),IF(K438+L438&gt;0,K438/(K438+L438),0.5))</f>
        <v/>
      </c>
      <c r="Q438" s="34">
        <f>IF($A438="",NA(),1-P438)</f>
        <v/>
      </c>
      <c r="R438" s="33">
        <f>IF($A438="",NA(),MAX(0,E438-F438)*IF(G438&gt;0,H438/G438,COMPAREC_PAD)*IF(I438&gt;0,J438/I438,VALIDOS_PAD))</f>
        <v/>
      </c>
      <c r="S438" s="34">
        <f>IF($A438="",NA(),IF(R438&gt;0,0.5-(K438-L438)/(2*R438),0))</f>
        <v/>
      </c>
      <c r="T438" s="34">
        <f>IF($A438="",NA(),IF(R438&lt;=0,IF(K438&gt;L438,1,IF(K438&lt;L438,0,0.5)),1-NORMDIST(S438,P438+AJUSTE,SIGMA,TRUE)))</f>
        <v/>
      </c>
      <c r="U438" s="34">
        <f>IF($A438="",NA(),1-T438)</f>
        <v/>
      </c>
    </row>
    <row r="439"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3" t="n"/>
      <c r="N439" s="34">
        <f>IF($A439="",NA(),IF(C439&gt;0,D439/C439,0))</f>
        <v/>
      </c>
      <c r="O439" s="34">
        <f>IF($A439="",NA(),IF(E439&gt;0,F439/E439,0))</f>
        <v/>
      </c>
      <c r="P439" s="34">
        <f>IF($A439="",NA(),IF(K439+L439&gt;0,K439/(K439+L439),0.5))</f>
        <v/>
      </c>
      <c r="Q439" s="34">
        <f>IF($A439="",NA(),1-P439)</f>
        <v/>
      </c>
      <c r="R439" s="33">
        <f>IF($A439="",NA(),MAX(0,E439-F439)*IF(G439&gt;0,H439/G439,COMPAREC_PAD)*IF(I439&gt;0,J439/I439,VALIDOS_PAD))</f>
        <v/>
      </c>
      <c r="S439" s="34">
        <f>IF($A439="",NA(),IF(R439&gt;0,0.5-(K439-L439)/(2*R439),0))</f>
        <v/>
      </c>
      <c r="T439" s="34">
        <f>IF($A439="",NA(),IF(R439&lt;=0,IF(K439&gt;L439,1,IF(K439&lt;L439,0,0.5)),1-NORMDIST(S439,P439+AJUSTE,SIGMA,TRUE)))</f>
        <v/>
      </c>
      <c r="U439" s="34">
        <f>IF($A439="",NA(),1-T439)</f>
        <v/>
      </c>
    </row>
    <row r="440"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N440" s="34">
        <f>IF($A440="",NA(),IF(C440&gt;0,D440/C440,0))</f>
        <v/>
      </c>
      <c r="O440" s="34">
        <f>IF($A440="",NA(),IF(E440&gt;0,F440/E440,0))</f>
        <v/>
      </c>
      <c r="P440" s="34">
        <f>IF($A440="",NA(),IF(K440+L440&gt;0,K440/(K440+L440),0.5))</f>
        <v/>
      </c>
      <c r="Q440" s="34">
        <f>IF($A440="",NA(),1-P440)</f>
        <v/>
      </c>
      <c r="R440" s="33">
        <f>IF($A440="",NA(),MAX(0,E440-F440)*IF(G440&gt;0,H440/G440,COMPAREC_PAD)*IF(I440&gt;0,J440/I440,VALIDOS_PAD))</f>
        <v/>
      </c>
      <c r="S440" s="34">
        <f>IF($A440="",NA(),IF(R440&gt;0,0.5-(K440-L440)/(2*R440),0))</f>
        <v/>
      </c>
      <c r="T440" s="34">
        <f>IF($A440="",NA(),IF(R440&lt;=0,IF(K440&gt;L440,1,IF(K440&lt;L440,0,0.5)),1-NORMDIST(S440,P440+AJUSTE,SIGMA,TRUE)))</f>
        <v/>
      </c>
      <c r="U440" s="34">
        <f>IF($A440="",NA(),1-T440)</f>
        <v/>
      </c>
    </row>
    <row r="441"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3" t="n"/>
      <c r="N441" s="34">
        <f>IF($A441="",NA(),IF(C441&gt;0,D441/C441,0))</f>
        <v/>
      </c>
      <c r="O441" s="34">
        <f>IF($A441="",NA(),IF(E441&gt;0,F441/E441,0))</f>
        <v/>
      </c>
      <c r="P441" s="34">
        <f>IF($A441="",NA(),IF(K441+L441&gt;0,K441/(K441+L441),0.5))</f>
        <v/>
      </c>
      <c r="Q441" s="34">
        <f>IF($A441="",NA(),1-P441)</f>
        <v/>
      </c>
      <c r="R441" s="33">
        <f>IF($A441="",NA(),MAX(0,E441-F441)*IF(G441&gt;0,H441/G441,COMPAREC_PAD)*IF(I441&gt;0,J441/I441,VALIDOS_PAD))</f>
        <v/>
      </c>
      <c r="S441" s="34">
        <f>IF($A441="",NA(),IF(R441&gt;0,0.5-(K441-L441)/(2*R441),0))</f>
        <v/>
      </c>
      <c r="T441" s="34">
        <f>IF($A441="",NA(),IF(R441&lt;=0,IF(K441&gt;L441,1,IF(K441&lt;L441,0,0.5)),1-NORMDIST(S441,P441+AJUSTE,SIGMA,TRUE)))</f>
        <v/>
      </c>
      <c r="U441" s="34">
        <f>IF($A441="",NA(),1-T441)</f>
        <v/>
      </c>
    </row>
    <row r="442">
      <c r="C442" s="33" t="n"/>
      <c r="D442" s="33" t="n"/>
      <c r="E442" s="33" t="n"/>
      <c r="F442" s="33" t="n"/>
      <c r="G442" s="33" t="n"/>
      <c r="H442" s="33" t="n"/>
      <c r="I442" s="33" t="n"/>
      <c r="J442" s="33" t="n"/>
      <c r="K442" s="33" t="n"/>
      <c r="L442" s="33" t="n"/>
      <c r="N442" s="34">
        <f>IF($A442="",NA(),IF(C442&gt;0,D442/C442,0))</f>
        <v/>
      </c>
      <c r="O442" s="34">
        <f>IF($A442="",NA(),IF(E442&gt;0,F442/E442,0))</f>
        <v/>
      </c>
      <c r="P442" s="34">
        <f>IF($A442="",NA(),IF(K442+L442&gt;0,K442/(K442+L442),0.5))</f>
        <v/>
      </c>
      <c r="Q442" s="34">
        <f>IF($A442="",NA(),1-P442)</f>
        <v/>
      </c>
      <c r="R442" s="33">
        <f>IF($A442="",NA(),MAX(0,E442-F442)*IF(G442&gt;0,H442/G442,COMPAREC_PAD)*IF(I442&gt;0,J442/I442,VALIDOS_PAD))</f>
        <v/>
      </c>
      <c r="S442" s="34">
        <f>IF($A442="",NA(),IF(R442&gt;0,0.5-(K442-L442)/(2*R442),0))</f>
        <v/>
      </c>
      <c r="T442" s="34">
        <f>IF($A442="",NA(),IF(R442&lt;=0,IF(K442&gt;L442,1,IF(K442&lt;L442,0,0.5)),1-NORMDIST(S442,P442+AJUSTE,SIGMA,TRUE)))</f>
        <v/>
      </c>
      <c r="U442" s="34">
        <f>IF($A442="",NA(),1-T442)</f>
        <v/>
      </c>
    </row>
    <row r="443">
      <c r="C443" s="33" t="n"/>
      <c r="D443" s="33" t="n"/>
      <c r="E443" s="33" t="n"/>
      <c r="F443" s="33" t="n"/>
      <c r="G443" s="33" t="n"/>
      <c r="H443" s="33" t="n"/>
      <c r="I443" s="33" t="n"/>
      <c r="J443" s="33" t="n"/>
      <c r="K443" s="33" t="n"/>
      <c r="L443" s="33" t="n"/>
      <c r="N443" s="34">
        <f>IF($A443="",NA(),IF(C443&gt;0,D443/C443,0))</f>
        <v/>
      </c>
      <c r="O443" s="34">
        <f>IF($A443="",NA(),IF(E443&gt;0,F443/E443,0))</f>
        <v/>
      </c>
      <c r="P443" s="34">
        <f>IF($A443="",NA(),IF(K443+L443&gt;0,K443/(K443+L443),0.5))</f>
        <v/>
      </c>
      <c r="Q443" s="34">
        <f>IF($A443="",NA(),1-P443)</f>
        <v/>
      </c>
      <c r="R443" s="33">
        <f>IF($A443="",NA(),MAX(0,E443-F443)*IF(G443&gt;0,H443/G443,COMPAREC_PAD)*IF(I443&gt;0,J443/I443,VALIDOS_PAD))</f>
        <v/>
      </c>
      <c r="S443" s="34">
        <f>IF($A443="",NA(),IF(R443&gt;0,0.5-(K443-L443)/(2*R443),0))</f>
        <v/>
      </c>
      <c r="T443" s="34">
        <f>IF($A443="",NA(),IF(R443&lt;=0,IF(K443&gt;L443,1,IF(K443&lt;L443,0,0.5)),1-NORMDIST(S443,P443+AJUSTE,SIGMA,TRUE)))</f>
        <v/>
      </c>
      <c r="U443" s="34">
        <f>IF($A443="",NA(),1-T443)</f>
        <v/>
      </c>
    </row>
    <row r="444"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  <c r="N444" s="34">
        <f>IF($A444="",NA(),IF(C444&gt;0,D444/C444,0))</f>
        <v/>
      </c>
      <c r="O444" s="34">
        <f>IF($A444="",NA(),IF(E444&gt;0,F444/E444,0))</f>
        <v/>
      </c>
      <c r="P444" s="34">
        <f>IF($A444="",NA(),IF(K444+L444&gt;0,K444/(K444+L444),0.5))</f>
        <v/>
      </c>
      <c r="Q444" s="34">
        <f>IF($A444="",NA(),1-P444)</f>
        <v/>
      </c>
      <c r="R444" s="33">
        <f>IF($A444="",NA(),MAX(0,E444-F444)*IF(G444&gt;0,H444/G444,COMPAREC_PAD)*IF(I444&gt;0,J444/I444,VALIDOS_PAD))</f>
        <v/>
      </c>
      <c r="S444" s="34">
        <f>IF($A444="",NA(),IF(R444&gt;0,0.5-(K444-L444)/(2*R444),0))</f>
        <v/>
      </c>
      <c r="T444" s="34">
        <f>IF($A444="",NA(),IF(R444&lt;=0,IF(K444&gt;L444,1,IF(K444&lt;L444,0,0.5)),1-NORMDIST(S444,P444+AJUSTE,SIGMA,TRUE)))</f>
        <v/>
      </c>
      <c r="U444" s="34">
        <f>IF($A444="",NA(),1-T444)</f>
        <v/>
      </c>
    </row>
    <row r="445"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3" t="n"/>
      <c r="N445" s="34">
        <f>IF($A445="",NA(),IF(C445&gt;0,D445/C445,0))</f>
        <v/>
      </c>
      <c r="O445" s="34">
        <f>IF($A445="",NA(),IF(E445&gt;0,F445/E445,0))</f>
        <v/>
      </c>
      <c r="P445" s="34">
        <f>IF($A445="",NA(),IF(K445+L445&gt;0,K445/(K445+L445),0.5))</f>
        <v/>
      </c>
      <c r="Q445" s="34">
        <f>IF($A445="",NA(),1-P445)</f>
        <v/>
      </c>
      <c r="R445" s="33">
        <f>IF($A445="",NA(),MAX(0,E445-F445)*IF(G445&gt;0,H445/G445,COMPAREC_PAD)*IF(I445&gt;0,J445/I445,VALIDOS_PAD))</f>
        <v/>
      </c>
      <c r="S445" s="34">
        <f>IF($A445="",NA(),IF(R445&gt;0,0.5-(K445-L445)/(2*R445),0))</f>
        <v/>
      </c>
      <c r="T445" s="34">
        <f>IF($A445="",NA(),IF(R445&lt;=0,IF(K445&gt;L445,1,IF(K445&lt;L445,0,0.5)),1-NORMDIST(S445,P445+AJUSTE,SIGMA,TRUE)))</f>
        <v/>
      </c>
      <c r="U445" s="34">
        <f>IF($A445="",NA(),1-T445)</f>
        <v/>
      </c>
    </row>
    <row r="446"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N446" s="34">
        <f>IF($A446="",NA(),IF(C446&gt;0,D446/C446,0))</f>
        <v/>
      </c>
      <c r="O446" s="34">
        <f>IF($A446="",NA(),IF(E446&gt;0,F446/E446,0))</f>
        <v/>
      </c>
      <c r="P446" s="34">
        <f>IF($A446="",NA(),IF(K446+L446&gt;0,K446/(K446+L446),0.5))</f>
        <v/>
      </c>
      <c r="Q446" s="34">
        <f>IF($A446="",NA(),1-P446)</f>
        <v/>
      </c>
      <c r="R446" s="33">
        <f>IF($A446="",NA(),MAX(0,E446-F446)*IF(G446&gt;0,H446/G446,COMPAREC_PAD)*IF(I446&gt;0,J446/I446,VALIDOS_PAD))</f>
        <v/>
      </c>
      <c r="S446" s="34">
        <f>IF($A446="",NA(),IF(R446&gt;0,0.5-(K446-L446)/(2*R446),0))</f>
        <v/>
      </c>
      <c r="T446" s="34">
        <f>IF($A446="",NA(),IF(R446&lt;=0,IF(K446&gt;L446,1,IF(K446&lt;L446,0,0.5)),1-NORMDIST(S446,P446+AJUSTE,SIGMA,TRUE)))</f>
        <v/>
      </c>
      <c r="U446" s="34">
        <f>IF($A446="",NA(),1-T446)</f>
        <v/>
      </c>
    </row>
    <row r="447"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N447" s="34">
        <f>IF($A447="",NA(),IF(C447&gt;0,D447/C447,0))</f>
        <v/>
      </c>
      <c r="O447" s="34">
        <f>IF($A447="",NA(),IF(E447&gt;0,F447/E447,0))</f>
        <v/>
      </c>
      <c r="P447" s="34">
        <f>IF($A447="",NA(),IF(K447+L447&gt;0,K447/(K447+L447),0.5))</f>
        <v/>
      </c>
      <c r="Q447" s="34">
        <f>IF($A447="",NA(),1-P447)</f>
        <v/>
      </c>
      <c r="R447" s="33">
        <f>IF($A447="",NA(),MAX(0,E447-F447)*IF(G447&gt;0,H447/G447,COMPAREC_PAD)*IF(I447&gt;0,J447/I447,VALIDOS_PAD))</f>
        <v/>
      </c>
      <c r="S447" s="34">
        <f>IF($A447="",NA(),IF(R447&gt;0,0.5-(K447-L447)/(2*R447),0))</f>
        <v/>
      </c>
      <c r="T447" s="34">
        <f>IF($A447="",NA(),IF(R447&lt;=0,IF(K447&gt;L447,1,IF(K447&lt;L447,0,0.5)),1-NORMDIST(S447,P447+AJUSTE,SIGMA,TRUE)))</f>
        <v/>
      </c>
      <c r="U447" s="34">
        <f>IF($A447="",NA(),1-T447)</f>
        <v/>
      </c>
    </row>
    <row r="448"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  <c r="N448" s="34">
        <f>IF($A448="",NA(),IF(C448&gt;0,D448/C448,0))</f>
        <v/>
      </c>
      <c r="O448" s="34">
        <f>IF($A448="",NA(),IF(E448&gt;0,F448/E448,0))</f>
        <v/>
      </c>
      <c r="P448" s="34">
        <f>IF($A448="",NA(),IF(K448+L448&gt;0,K448/(K448+L448),0.5))</f>
        <v/>
      </c>
      <c r="Q448" s="34">
        <f>IF($A448="",NA(),1-P448)</f>
        <v/>
      </c>
      <c r="R448" s="33">
        <f>IF($A448="",NA(),MAX(0,E448-F448)*IF(G448&gt;0,H448/G448,COMPAREC_PAD)*IF(I448&gt;0,J448/I448,VALIDOS_PAD))</f>
        <v/>
      </c>
      <c r="S448" s="34">
        <f>IF($A448="",NA(),IF(R448&gt;0,0.5-(K448-L448)/(2*R448),0))</f>
        <v/>
      </c>
      <c r="T448" s="34">
        <f>IF($A448="",NA(),IF(R448&lt;=0,IF(K448&gt;L448,1,IF(K448&lt;L448,0,0.5)),1-NORMDIST(S448,P448+AJUSTE,SIGMA,TRUE)))</f>
        <v/>
      </c>
      <c r="U448" s="34">
        <f>IF($A448="",NA(),1-T448)</f>
        <v/>
      </c>
    </row>
    <row r="449"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3" t="n"/>
      <c r="N449" s="34">
        <f>IF($A449="",NA(),IF(C449&gt;0,D449/C449,0))</f>
        <v/>
      </c>
      <c r="O449" s="34">
        <f>IF($A449="",NA(),IF(E449&gt;0,F449/E449,0))</f>
        <v/>
      </c>
      <c r="P449" s="34">
        <f>IF($A449="",NA(),IF(K449+L449&gt;0,K449/(K449+L449),0.5))</f>
        <v/>
      </c>
      <c r="Q449" s="34">
        <f>IF($A449="",NA(),1-P449)</f>
        <v/>
      </c>
      <c r="R449" s="33">
        <f>IF($A449="",NA(),MAX(0,E449-F449)*IF(G449&gt;0,H449/G449,COMPAREC_PAD)*IF(I449&gt;0,J449/I449,VALIDOS_PAD))</f>
        <v/>
      </c>
      <c r="S449" s="34">
        <f>IF($A449="",NA(),IF(R449&gt;0,0.5-(K449-L449)/(2*R449),0))</f>
        <v/>
      </c>
      <c r="T449" s="34">
        <f>IF($A449="",NA(),IF(R449&lt;=0,IF(K449&gt;L449,1,IF(K449&lt;L449,0,0.5)),1-NORMDIST(S449,P449+AJUSTE,SIGMA,TRUE)))</f>
        <v/>
      </c>
      <c r="U449" s="34">
        <f>IF($A449="",NA(),1-T449)</f>
        <v/>
      </c>
    </row>
    <row r="450">
      <c r="C450" s="33" t="n"/>
      <c r="D450" s="33" t="n"/>
      <c r="E450" s="33" t="n"/>
      <c r="F450" s="33" t="n"/>
      <c r="G450" s="33" t="n"/>
      <c r="H450" s="33" t="n"/>
      <c r="I450" s="33" t="n"/>
      <c r="J450" s="33" t="n"/>
      <c r="K450" s="33" t="n"/>
      <c r="L450" s="33" t="n"/>
      <c r="N450" s="34">
        <f>IF($A450="",NA(),IF(C450&gt;0,D450/C450,0))</f>
        <v/>
      </c>
      <c r="O450" s="34">
        <f>IF($A450="",NA(),IF(E450&gt;0,F450/E450,0))</f>
        <v/>
      </c>
      <c r="P450" s="34">
        <f>IF($A450="",NA(),IF(K450+L450&gt;0,K450/(K450+L450),0.5))</f>
        <v/>
      </c>
      <c r="Q450" s="34">
        <f>IF($A450="",NA(),1-P450)</f>
        <v/>
      </c>
      <c r="R450" s="33">
        <f>IF($A450="",NA(),MAX(0,E450-F450)*IF(G450&gt;0,H450/G450,COMPAREC_PAD)*IF(I450&gt;0,J450/I450,VALIDOS_PAD))</f>
        <v/>
      </c>
      <c r="S450" s="34">
        <f>IF($A450="",NA(),IF(R450&gt;0,0.5-(K450-L450)/(2*R450),0))</f>
        <v/>
      </c>
      <c r="T450" s="34">
        <f>IF($A450="",NA(),IF(R450&lt;=0,IF(K450&gt;L450,1,IF(K450&lt;L450,0,0.5)),1-NORMDIST(S450,P450+AJUSTE,SIGMA,TRUE)))</f>
        <v/>
      </c>
      <c r="U450" s="34">
        <f>IF($A450="",NA(),1-T450)</f>
        <v/>
      </c>
    </row>
    <row r="451">
      <c r="C451" s="33" t="n"/>
      <c r="D451" s="33" t="n"/>
      <c r="E451" s="33" t="n"/>
      <c r="F451" s="33" t="n"/>
      <c r="G451" s="33" t="n"/>
      <c r="H451" s="33" t="n"/>
      <c r="I451" s="33" t="n"/>
      <c r="J451" s="33" t="n"/>
      <c r="K451" s="33" t="n"/>
      <c r="L451" s="33" t="n"/>
      <c r="N451" s="34">
        <f>IF($A451="",NA(),IF(C451&gt;0,D451/C451,0))</f>
        <v/>
      </c>
      <c r="O451" s="34">
        <f>IF($A451="",NA(),IF(E451&gt;0,F451/E451,0))</f>
        <v/>
      </c>
      <c r="P451" s="34">
        <f>IF($A451="",NA(),IF(K451+L451&gt;0,K451/(K451+L451),0.5))</f>
        <v/>
      </c>
      <c r="Q451" s="34">
        <f>IF($A451="",NA(),1-P451)</f>
        <v/>
      </c>
      <c r="R451" s="33">
        <f>IF($A451="",NA(),MAX(0,E451-F451)*IF(G451&gt;0,H451/G451,COMPAREC_PAD)*IF(I451&gt;0,J451/I451,VALIDOS_PAD))</f>
        <v/>
      </c>
      <c r="S451" s="34">
        <f>IF($A451="",NA(),IF(R451&gt;0,0.5-(K451-L451)/(2*R451),0))</f>
        <v/>
      </c>
      <c r="T451" s="34">
        <f>IF($A451="",NA(),IF(R451&lt;=0,IF(K451&gt;L451,1,IF(K451&lt;L451,0,0.5)),1-NORMDIST(S451,P451+AJUSTE,SIGMA,TRUE)))</f>
        <v/>
      </c>
      <c r="U451" s="34">
        <f>IF($A451="",NA(),1-T451)</f>
        <v/>
      </c>
    </row>
    <row r="452"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N452" s="34">
        <f>IF($A452="",NA(),IF(C452&gt;0,D452/C452,0))</f>
        <v/>
      </c>
      <c r="O452" s="34">
        <f>IF($A452="",NA(),IF(E452&gt;0,F452/E452,0))</f>
        <v/>
      </c>
      <c r="P452" s="34">
        <f>IF($A452="",NA(),IF(K452+L452&gt;0,K452/(K452+L452),0.5))</f>
        <v/>
      </c>
      <c r="Q452" s="34">
        <f>IF($A452="",NA(),1-P452)</f>
        <v/>
      </c>
      <c r="R452" s="33">
        <f>IF($A452="",NA(),MAX(0,E452-F452)*IF(G452&gt;0,H452/G452,COMPAREC_PAD)*IF(I452&gt;0,J452/I452,VALIDOS_PAD))</f>
        <v/>
      </c>
      <c r="S452" s="34">
        <f>IF($A452="",NA(),IF(R452&gt;0,0.5-(K452-L452)/(2*R452),0))</f>
        <v/>
      </c>
      <c r="T452" s="34">
        <f>IF($A452="",NA(),IF(R452&lt;=0,IF(K452&gt;L452,1,IF(K452&lt;L452,0,0.5)),1-NORMDIST(S452,P452+AJUSTE,SIGMA,TRUE)))</f>
        <v/>
      </c>
      <c r="U452" s="34">
        <f>IF($A452="",NA(),1-T452)</f>
        <v/>
      </c>
    </row>
    <row r="453"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N453" s="34">
        <f>IF($A453="",NA(),IF(C453&gt;0,D453/C453,0))</f>
        <v/>
      </c>
      <c r="O453" s="34">
        <f>IF($A453="",NA(),IF(E453&gt;0,F453/E453,0))</f>
        <v/>
      </c>
      <c r="P453" s="34">
        <f>IF($A453="",NA(),IF(K453+L453&gt;0,K453/(K453+L453),0.5))</f>
        <v/>
      </c>
      <c r="Q453" s="34">
        <f>IF($A453="",NA(),1-P453)</f>
        <v/>
      </c>
      <c r="R453" s="33">
        <f>IF($A453="",NA(),MAX(0,E453-F453)*IF(G453&gt;0,H453/G453,COMPAREC_PAD)*IF(I453&gt;0,J453/I453,VALIDOS_PAD))</f>
        <v/>
      </c>
      <c r="S453" s="34">
        <f>IF($A453="",NA(),IF(R453&gt;0,0.5-(K453-L453)/(2*R453),0))</f>
        <v/>
      </c>
      <c r="T453" s="34">
        <f>IF($A453="",NA(),IF(R453&lt;=0,IF(K453&gt;L453,1,IF(K453&lt;L453,0,0.5)),1-NORMDIST(S453,P453+AJUSTE,SIGMA,TRUE)))</f>
        <v/>
      </c>
      <c r="U453" s="34">
        <f>IF($A453="",NA(),1-T453)</f>
        <v/>
      </c>
    </row>
    <row r="454"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N454" s="34">
        <f>IF($A454="",NA(),IF(C454&gt;0,D454/C454,0))</f>
        <v/>
      </c>
      <c r="O454" s="34">
        <f>IF($A454="",NA(),IF(E454&gt;0,F454/E454,0))</f>
        <v/>
      </c>
      <c r="P454" s="34">
        <f>IF($A454="",NA(),IF(K454+L454&gt;0,K454/(K454+L454),0.5))</f>
        <v/>
      </c>
      <c r="Q454" s="34">
        <f>IF($A454="",NA(),1-P454)</f>
        <v/>
      </c>
      <c r="R454" s="33">
        <f>IF($A454="",NA(),MAX(0,E454-F454)*IF(G454&gt;0,H454/G454,COMPAREC_PAD)*IF(I454&gt;0,J454/I454,VALIDOS_PAD))</f>
        <v/>
      </c>
      <c r="S454" s="34">
        <f>IF($A454="",NA(),IF(R454&gt;0,0.5-(K454-L454)/(2*R454),0))</f>
        <v/>
      </c>
      <c r="T454" s="34">
        <f>IF($A454="",NA(),IF(R454&lt;=0,IF(K454&gt;L454,1,IF(K454&lt;L454,0,0.5)),1-NORMDIST(S454,P454+AJUSTE,SIGMA,TRUE)))</f>
        <v/>
      </c>
      <c r="U454" s="34">
        <f>IF($A454="",NA(),1-T454)</f>
        <v/>
      </c>
    </row>
    <row r="455"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3" t="n"/>
      <c r="N455" s="34">
        <f>IF($A455="",NA(),IF(C455&gt;0,D455/C455,0))</f>
        <v/>
      </c>
      <c r="O455" s="34">
        <f>IF($A455="",NA(),IF(E455&gt;0,F455/E455,0))</f>
        <v/>
      </c>
      <c r="P455" s="34">
        <f>IF($A455="",NA(),IF(K455+L455&gt;0,K455/(K455+L455),0.5))</f>
        <v/>
      </c>
      <c r="Q455" s="34">
        <f>IF($A455="",NA(),1-P455)</f>
        <v/>
      </c>
      <c r="R455" s="33">
        <f>IF($A455="",NA(),MAX(0,E455-F455)*IF(G455&gt;0,H455/G455,COMPAREC_PAD)*IF(I455&gt;0,J455/I455,VALIDOS_PAD))</f>
        <v/>
      </c>
      <c r="S455" s="34">
        <f>IF($A455="",NA(),IF(R455&gt;0,0.5-(K455-L455)/(2*R455),0))</f>
        <v/>
      </c>
      <c r="T455" s="34">
        <f>IF($A455="",NA(),IF(R455&lt;=0,IF(K455&gt;L455,1,IF(K455&lt;L455,0,0.5)),1-NORMDIST(S455,P455+AJUSTE,SIGMA,TRUE)))</f>
        <v/>
      </c>
      <c r="U455" s="34">
        <f>IF($A455="",NA(),1-T455)</f>
        <v/>
      </c>
    </row>
    <row r="456">
      <c r="C456" s="33" t="n"/>
      <c r="D456" s="33" t="n"/>
      <c r="E456" s="33" t="n"/>
      <c r="F456" s="33" t="n"/>
      <c r="G456" s="33" t="n"/>
      <c r="H456" s="33" t="n"/>
      <c r="I456" s="33" t="n"/>
      <c r="J456" s="33" t="n"/>
      <c r="K456" s="33" t="n"/>
      <c r="L456" s="33" t="n"/>
      <c r="N456" s="34">
        <f>IF($A456="",NA(),IF(C456&gt;0,D456/C456,0))</f>
        <v/>
      </c>
      <c r="O456" s="34">
        <f>IF($A456="",NA(),IF(E456&gt;0,F456/E456,0))</f>
        <v/>
      </c>
      <c r="P456" s="34">
        <f>IF($A456="",NA(),IF(K456+L456&gt;0,K456/(K456+L456),0.5))</f>
        <v/>
      </c>
      <c r="Q456" s="34">
        <f>IF($A456="",NA(),1-P456)</f>
        <v/>
      </c>
      <c r="R456" s="33">
        <f>IF($A456="",NA(),MAX(0,E456-F456)*IF(G456&gt;0,H456/G456,COMPAREC_PAD)*IF(I456&gt;0,J456/I456,VALIDOS_PAD))</f>
        <v/>
      </c>
      <c r="S456" s="34">
        <f>IF($A456="",NA(),IF(R456&gt;0,0.5-(K456-L456)/(2*R456),0))</f>
        <v/>
      </c>
      <c r="T456" s="34">
        <f>IF($A456="",NA(),IF(R456&lt;=0,IF(K456&gt;L456,1,IF(K456&lt;L456,0,0.5)),1-NORMDIST(S456,P456+AJUSTE,SIGMA,TRUE)))</f>
        <v/>
      </c>
      <c r="U456" s="34">
        <f>IF($A456="",NA(),1-T456)</f>
        <v/>
      </c>
    </row>
    <row r="457"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N457" s="34">
        <f>IF($A457="",NA(),IF(C457&gt;0,D457/C457,0))</f>
        <v/>
      </c>
      <c r="O457" s="34">
        <f>IF($A457="",NA(),IF(E457&gt;0,F457/E457,0))</f>
        <v/>
      </c>
      <c r="P457" s="34">
        <f>IF($A457="",NA(),IF(K457+L457&gt;0,K457/(K457+L457),0.5))</f>
        <v/>
      </c>
      <c r="Q457" s="34">
        <f>IF($A457="",NA(),1-P457)</f>
        <v/>
      </c>
      <c r="R457" s="33">
        <f>IF($A457="",NA(),MAX(0,E457-F457)*IF(G457&gt;0,H457/G457,COMPAREC_PAD)*IF(I457&gt;0,J457/I457,VALIDOS_PAD))</f>
        <v/>
      </c>
      <c r="S457" s="34">
        <f>IF($A457="",NA(),IF(R457&gt;0,0.5-(K457-L457)/(2*R457),0))</f>
        <v/>
      </c>
      <c r="T457" s="34">
        <f>IF($A457="",NA(),IF(R457&lt;=0,IF(K457&gt;L457,1,IF(K457&lt;L457,0,0.5)),1-NORMDIST(S457,P457+AJUSTE,SIGMA,TRUE)))</f>
        <v/>
      </c>
      <c r="U457" s="34">
        <f>IF($A457="",NA(),1-T457)</f>
        <v/>
      </c>
    </row>
    <row r="458"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N458" s="34">
        <f>IF($A458="",NA(),IF(C458&gt;0,D458/C458,0))</f>
        <v/>
      </c>
      <c r="O458" s="34">
        <f>IF($A458="",NA(),IF(E458&gt;0,F458/E458,0))</f>
        <v/>
      </c>
      <c r="P458" s="34">
        <f>IF($A458="",NA(),IF(K458+L458&gt;0,K458/(K458+L458),0.5))</f>
        <v/>
      </c>
      <c r="Q458" s="34">
        <f>IF($A458="",NA(),1-P458)</f>
        <v/>
      </c>
      <c r="R458" s="33">
        <f>IF($A458="",NA(),MAX(0,E458-F458)*IF(G458&gt;0,H458/G458,COMPAREC_PAD)*IF(I458&gt;0,J458/I458,VALIDOS_PAD))</f>
        <v/>
      </c>
      <c r="S458" s="34">
        <f>IF($A458="",NA(),IF(R458&gt;0,0.5-(K458-L458)/(2*R458),0))</f>
        <v/>
      </c>
      <c r="T458" s="34">
        <f>IF($A458="",NA(),IF(R458&lt;=0,IF(K458&gt;L458,1,IF(K458&lt;L458,0,0.5)),1-NORMDIST(S458,P458+AJUSTE,SIGMA,TRUE)))</f>
        <v/>
      </c>
      <c r="U458" s="34">
        <f>IF($A458="",NA(),1-T458)</f>
        <v/>
      </c>
    </row>
    <row r="459"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N459" s="34">
        <f>IF($A459="",NA(),IF(C459&gt;0,D459/C459,0))</f>
        <v/>
      </c>
      <c r="O459" s="34">
        <f>IF($A459="",NA(),IF(E459&gt;0,F459/E459,0))</f>
        <v/>
      </c>
      <c r="P459" s="34">
        <f>IF($A459="",NA(),IF(K459+L459&gt;0,K459/(K459+L459),0.5))</f>
        <v/>
      </c>
      <c r="Q459" s="34">
        <f>IF($A459="",NA(),1-P459)</f>
        <v/>
      </c>
      <c r="R459" s="33">
        <f>IF($A459="",NA(),MAX(0,E459-F459)*IF(G459&gt;0,H459/G459,COMPAREC_PAD)*IF(I459&gt;0,J459/I459,VALIDOS_PAD))</f>
        <v/>
      </c>
      <c r="S459" s="34">
        <f>IF($A459="",NA(),IF(R459&gt;0,0.5-(K459-L459)/(2*R459),0))</f>
        <v/>
      </c>
      <c r="T459" s="34">
        <f>IF($A459="",NA(),IF(R459&lt;=0,IF(K459&gt;L459,1,IF(K459&lt;L459,0,0.5)),1-NORMDIST(S459,P459+AJUSTE,SIGMA,TRUE)))</f>
        <v/>
      </c>
      <c r="U459" s="34">
        <f>IF($A459="",NA(),1-T459)</f>
        <v/>
      </c>
    </row>
    <row r="460"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  <c r="N460" s="34">
        <f>IF($A460="",NA(),IF(C460&gt;0,D460/C460,0))</f>
        <v/>
      </c>
      <c r="O460" s="34">
        <f>IF($A460="",NA(),IF(E460&gt;0,F460/E460,0))</f>
        <v/>
      </c>
      <c r="P460" s="34">
        <f>IF($A460="",NA(),IF(K460+L460&gt;0,K460/(K460+L460),0.5))</f>
        <v/>
      </c>
      <c r="Q460" s="34">
        <f>IF($A460="",NA(),1-P460)</f>
        <v/>
      </c>
      <c r="R460" s="33">
        <f>IF($A460="",NA(),MAX(0,E460-F460)*IF(G460&gt;0,H460/G460,COMPAREC_PAD)*IF(I460&gt;0,J460/I460,VALIDOS_PAD))</f>
        <v/>
      </c>
      <c r="S460" s="34">
        <f>IF($A460="",NA(),IF(R460&gt;0,0.5-(K460-L460)/(2*R460),0))</f>
        <v/>
      </c>
      <c r="T460" s="34">
        <f>IF($A460="",NA(),IF(R460&lt;=0,IF(K460&gt;L460,1,IF(K460&lt;L460,0,0.5)),1-NORMDIST(S460,P460+AJUSTE,SIGMA,TRUE)))</f>
        <v/>
      </c>
      <c r="U460" s="34">
        <f>IF($A460="",NA(),1-T460)</f>
        <v/>
      </c>
    </row>
    <row r="461"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N461" s="34">
        <f>IF($A461="",NA(),IF(C461&gt;0,D461/C461,0))</f>
        <v/>
      </c>
      <c r="O461" s="34">
        <f>IF($A461="",NA(),IF(E461&gt;0,F461/E461,0))</f>
        <v/>
      </c>
      <c r="P461" s="34">
        <f>IF($A461="",NA(),IF(K461+L461&gt;0,K461/(K461+L461),0.5))</f>
        <v/>
      </c>
      <c r="Q461" s="34">
        <f>IF($A461="",NA(),1-P461)</f>
        <v/>
      </c>
      <c r="R461" s="33">
        <f>IF($A461="",NA(),MAX(0,E461-F461)*IF(G461&gt;0,H461/G461,COMPAREC_PAD)*IF(I461&gt;0,J461/I461,VALIDOS_PAD))</f>
        <v/>
      </c>
      <c r="S461" s="34">
        <f>IF($A461="",NA(),IF(R461&gt;0,0.5-(K461-L461)/(2*R461),0))</f>
        <v/>
      </c>
      <c r="T461" s="34">
        <f>IF($A461="",NA(),IF(R461&lt;=0,IF(K461&gt;L461,1,IF(K461&lt;L461,0,0.5)),1-NORMDIST(S461,P461+AJUSTE,SIGMA,TRUE)))</f>
        <v/>
      </c>
      <c r="U461" s="34">
        <f>IF($A461="",NA(),1-T461)</f>
        <v/>
      </c>
    </row>
    <row r="462"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N462" s="34">
        <f>IF($A462="",NA(),IF(C462&gt;0,D462/C462,0))</f>
        <v/>
      </c>
      <c r="O462" s="34">
        <f>IF($A462="",NA(),IF(E462&gt;0,F462/E462,0))</f>
        <v/>
      </c>
      <c r="P462" s="34">
        <f>IF($A462="",NA(),IF(K462+L462&gt;0,K462/(K462+L462),0.5))</f>
        <v/>
      </c>
      <c r="Q462" s="34">
        <f>IF($A462="",NA(),1-P462)</f>
        <v/>
      </c>
      <c r="R462" s="33">
        <f>IF($A462="",NA(),MAX(0,E462-F462)*IF(G462&gt;0,H462/G462,COMPAREC_PAD)*IF(I462&gt;0,J462/I462,VALIDOS_PAD))</f>
        <v/>
      </c>
      <c r="S462" s="34">
        <f>IF($A462="",NA(),IF(R462&gt;0,0.5-(K462-L462)/(2*R462),0))</f>
        <v/>
      </c>
      <c r="T462" s="34">
        <f>IF($A462="",NA(),IF(R462&lt;=0,IF(K462&gt;L462,1,IF(K462&lt;L462,0,0.5)),1-NORMDIST(S462,P462+AJUSTE,SIGMA,TRUE)))</f>
        <v/>
      </c>
      <c r="U462" s="34">
        <f>IF($A462="",NA(),1-T462)</f>
        <v/>
      </c>
    </row>
    <row r="463"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N463" s="34">
        <f>IF($A463="",NA(),IF(C463&gt;0,D463/C463,0))</f>
        <v/>
      </c>
      <c r="O463" s="34">
        <f>IF($A463="",NA(),IF(E463&gt;0,F463/E463,0))</f>
        <v/>
      </c>
      <c r="P463" s="34">
        <f>IF($A463="",NA(),IF(K463+L463&gt;0,K463/(K463+L463),0.5))</f>
        <v/>
      </c>
      <c r="Q463" s="34">
        <f>IF($A463="",NA(),1-P463)</f>
        <v/>
      </c>
      <c r="R463" s="33">
        <f>IF($A463="",NA(),MAX(0,E463-F463)*IF(G463&gt;0,H463/G463,COMPAREC_PAD)*IF(I463&gt;0,J463/I463,VALIDOS_PAD))</f>
        <v/>
      </c>
      <c r="S463" s="34">
        <f>IF($A463="",NA(),IF(R463&gt;0,0.5-(K463-L463)/(2*R463),0))</f>
        <v/>
      </c>
      <c r="T463" s="34">
        <f>IF($A463="",NA(),IF(R463&lt;=0,IF(K463&gt;L463,1,IF(K463&lt;L463,0,0.5)),1-NORMDIST(S463,P463+AJUSTE,SIGMA,TRUE)))</f>
        <v/>
      </c>
      <c r="U463" s="34">
        <f>IF($A463="",NA(),1-T463)</f>
        <v/>
      </c>
    </row>
    <row r="464"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  <c r="N464" s="34">
        <f>IF($A464="",NA(),IF(C464&gt;0,D464/C464,0))</f>
        <v/>
      </c>
      <c r="O464" s="34">
        <f>IF($A464="",NA(),IF(E464&gt;0,F464/E464,0))</f>
        <v/>
      </c>
      <c r="P464" s="34">
        <f>IF($A464="",NA(),IF(K464+L464&gt;0,K464/(K464+L464),0.5))</f>
        <v/>
      </c>
      <c r="Q464" s="34">
        <f>IF($A464="",NA(),1-P464)</f>
        <v/>
      </c>
      <c r="R464" s="33">
        <f>IF($A464="",NA(),MAX(0,E464-F464)*IF(G464&gt;0,H464/G464,COMPAREC_PAD)*IF(I464&gt;0,J464/I464,VALIDOS_PAD))</f>
        <v/>
      </c>
      <c r="S464" s="34">
        <f>IF($A464="",NA(),IF(R464&gt;0,0.5-(K464-L464)/(2*R464),0))</f>
        <v/>
      </c>
      <c r="T464" s="34">
        <f>IF($A464="",NA(),IF(R464&lt;=0,IF(K464&gt;L464,1,IF(K464&lt;L464,0,0.5)),1-NORMDIST(S464,P464+AJUSTE,SIGMA,TRUE)))</f>
        <v/>
      </c>
      <c r="U464" s="34">
        <f>IF($A464="",NA(),1-T464)</f>
        <v/>
      </c>
    </row>
    <row r="465">
      <c r="C465" s="33" t="n"/>
      <c r="D465" s="33" t="n"/>
      <c r="E465" s="33" t="n"/>
      <c r="F465" s="33" t="n"/>
      <c r="G465" s="33" t="n"/>
      <c r="H465" s="33" t="n"/>
      <c r="I465" s="33" t="n"/>
      <c r="J465" s="33" t="n"/>
      <c r="K465" s="33" t="n"/>
      <c r="L465" s="33" t="n"/>
      <c r="N465" s="34">
        <f>IF($A465="",NA(),IF(C465&gt;0,D465/C465,0))</f>
        <v/>
      </c>
      <c r="O465" s="34">
        <f>IF($A465="",NA(),IF(E465&gt;0,F465/E465,0))</f>
        <v/>
      </c>
      <c r="P465" s="34">
        <f>IF($A465="",NA(),IF(K465+L465&gt;0,K465/(K465+L465),0.5))</f>
        <v/>
      </c>
      <c r="Q465" s="34">
        <f>IF($A465="",NA(),1-P465)</f>
        <v/>
      </c>
      <c r="R465" s="33">
        <f>IF($A465="",NA(),MAX(0,E465-F465)*IF(G465&gt;0,H465/G465,COMPAREC_PAD)*IF(I465&gt;0,J465/I465,VALIDOS_PAD))</f>
        <v/>
      </c>
      <c r="S465" s="34">
        <f>IF($A465="",NA(),IF(R465&gt;0,0.5-(K465-L465)/(2*R465),0))</f>
        <v/>
      </c>
      <c r="T465" s="34">
        <f>IF($A465="",NA(),IF(R465&lt;=0,IF(K465&gt;L465,1,IF(K465&lt;L465,0,0.5)),1-NORMDIST(S465,P465+AJUSTE,SIGMA,TRUE)))</f>
        <v/>
      </c>
      <c r="U465" s="34">
        <f>IF($A465="",NA(),1-T465)</f>
        <v/>
      </c>
    </row>
    <row r="466"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N466" s="34">
        <f>IF($A466="",NA(),IF(C466&gt;0,D466/C466,0))</f>
        <v/>
      </c>
      <c r="O466" s="34">
        <f>IF($A466="",NA(),IF(E466&gt;0,F466/E466,0))</f>
        <v/>
      </c>
      <c r="P466" s="34">
        <f>IF($A466="",NA(),IF(K466+L466&gt;0,K466/(K466+L466),0.5))</f>
        <v/>
      </c>
      <c r="Q466" s="34">
        <f>IF($A466="",NA(),1-P466)</f>
        <v/>
      </c>
      <c r="R466" s="33">
        <f>IF($A466="",NA(),MAX(0,E466-F466)*IF(G466&gt;0,H466/G466,COMPAREC_PAD)*IF(I466&gt;0,J466/I466,VALIDOS_PAD))</f>
        <v/>
      </c>
      <c r="S466" s="34">
        <f>IF($A466="",NA(),IF(R466&gt;0,0.5-(K466-L466)/(2*R466),0))</f>
        <v/>
      </c>
      <c r="T466" s="34">
        <f>IF($A466="",NA(),IF(R466&lt;=0,IF(K466&gt;L466,1,IF(K466&lt;L466,0,0.5)),1-NORMDIST(S466,P466+AJUSTE,SIGMA,TRUE)))</f>
        <v/>
      </c>
      <c r="U466" s="34">
        <f>IF($A466="",NA(),1-T466)</f>
        <v/>
      </c>
    </row>
    <row r="467"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N467" s="34">
        <f>IF($A467="",NA(),IF(C467&gt;0,D467/C467,0))</f>
        <v/>
      </c>
      <c r="O467" s="34">
        <f>IF($A467="",NA(),IF(E467&gt;0,F467/E467,0))</f>
        <v/>
      </c>
      <c r="P467" s="34">
        <f>IF($A467="",NA(),IF(K467+L467&gt;0,K467/(K467+L467),0.5))</f>
        <v/>
      </c>
      <c r="Q467" s="34">
        <f>IF($A467="",NA(),1-P467)</f>
        <v/>
      </c>
      <c r="R467" s="33">
        <f>IF($A467="",NA(),MAX(0,E467-F467)*IF(G467&gt;0,H467/G467,COMPAREC_PAD)*IF(I467&gt;0,J467/I467,VALIDOS_PAD))</f>
        <v/>
      </c>
      <c r="S467" s="34">
        <f>IF($A467="",NA(),IF(R467&gt;0,0.5-(K467-L467)/(2*R467),0))</f>
        <v/>
      </c>
      <c r="T467" s="34">
        <f>IF($A467="",NA(),IF(R467&lt;=0,IF(K467&gt;L467,1,IF(K467&lt;L467,0,0.5)),1-NORMDIST(S467,P467+AJUSTE,SIGMA,TRUE)))</f>
        <v/>
      </c>
      <c r="U467" s="34">
        <f>IF($A467="",NA(),1-T467)</f>
        <v/>
      </c>
    </row>
    <row r="468"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  <c r="N468" s="34">
        <f>IF($A468="",NA(),IF(C468&gt;0,D468/C468,0))</f>
        <v/>
      </c>
      <c r="O468" s="34">
        <f>IF($A468="",NA(),IF(E468&gt;0,F468/E468,0))</f>
        <v/>
      </c>
      <c r="P468" s="34">
        <f>IF($A468="",NA(),IF(K468+L468&gt;0,K468/(K468+L468),0.5))</f>
        <v/>
      </c>
      <c r="Q468" s="34">
        <f>IF($A468="",NA(),1-P468)</f>
        <v/>
      </c>
      <c r="R468" s="33">
        <f>IF($A468="",NA(),MAX(0,E468-F468)*IF(G468&gt;0,H468/G468,COMPAREC_PAD)*IF(I468&gt;0,J468/I468,VALIDOS_PAD))</f>
        <v/>
      </c>
      <c r="S468" s="34">
        <f>IF($A468="",NA(),IF(R468&gt;0,0.5-(K468-L468)/(2*R468),0))</f>
        <v/>
      </c>
      <c r="T468" s="34">
        <f>IF($A468="",NA(),IF(R468&lt;=0,IF(K468&gt;L468,1,IF(K468&lt;L468,0,0.5)),1-NORMDIST(S468,P468+AJUSTE,SIGMA,TRUE)))</f>
        <v/>
      </c>
      <c r="U468" s="34">
        <f>IF($A468="",NA(),1-T468)</f>
        <v/>
      </c>
    </row>
    <row r="469"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3" t="n"/>
      <c r="N469" s="34">
        <f>IF($A469="",NA(),IF(C469&gt;0,D469/C469,0))</f>
        <v/>
      </c>
      <c r="O469" s="34">
        <f>IF($A469="",NA(),IF(E469&gt;0,F469/E469,0))</f>
        <v/>
      </c>
      <c r="P469" s="34">
        <f>IF($A469="",NA(),IF(K469+L469&gt;0,K469/(K469+L469),0.5))</f>
        <v/>
      </c>
      <c r="Q469" s="34">
        <f>IF($A469="",NA(),1-P469)</f>
        <v/>
      </c>
      <c r="R469" s="33">
        <f>IF($A469="",NA(),MAX(0,E469-F469)*IF(G469&gt;0,H469/G469,COMPAREC_PAD)*IF(I469&gt;0,J469/I469,VALIDOS_PAD))</f>
        <v/>
      </c>
      <c r="S469" s="34">
        <f>IF($A469="",NA(),IF(R469&gt;0,0.5-(K469-L469)/(2*R469),0))</f>
        <v/>
      </c>
      <c r="T469" s="34">
        <f>IF($A469="",NA(),IF(R469&lt;=0,IF(K469&gt;L469,1,IF(K469&lt;L469,0,0.5)),1-NORMDIST(S469,P469+AJUSTE,SIGMA,TRUE)))</f>
        <v/>
      </c>
      <c r="U469" s="34">
        <f>IF($A469="",NA(),1-T469)</f>
        <v/>
      </c>
    </row>
    <row r="470">
      <c r="C470" s="33" t="n"/>
      <c r="D470" s="33" t="n"/>
      <c r="E470" s="33" t="n"/>
      <c r="F470" s="33" t="n"/>
      <c r="G470" s="33" t="n"/>
      <c r="H470" s="33" t="n"/>
      <c r="I470" s="33" t="n"/>
      <c r="J470" s="33" t="n"/>
      <c r="K470" s="33" t="n"/>
      <c r="L470" s="33" t="n"/>
      <c r="N470" s="34">
        <f>IF($A470="",NA(),IF(C470&gt;0,D470/C470,0))</f>
        <v/>
      </c>
      <c r="O470" s="34">
        <f>IF($A470="",NA(),IF(E470&gt;0,F470/E470,0))</f>
        <v/>
      </c>
      <c r="P470" s="34">
        <f>IF($A470="",NA(),IF(K470+L470&gt;0,K470/(K470+L470),0.5))</f>
        <v/>
      </c>
      <c r="Q470" s="34">
        <f>IF($A470="",NA(),1-P470)</f>
        <v/>
      </c>
      <c r="R470" s="33">
        <f>IF($A470="",NA(),MAX(0,E470-F470)*IF(G470&gt;0,H470/G470,COMPAREC_PAD)*IF(I470&gt;0,J470/I470,VALIDOS_PAD))</f>
        <v/>
      </c>
      <c r="S470" s="34">
        <f>IF($A470="",NA(),IF(R470&gt;0,0.5-(K470-L470)/(2*R470),0))</f>
        <v/>
      </c>
      <c r="T470" s="34">
        <f>IF($A470="",NA(),IF(R470&lt;=0,IF(K470&gt;L470,1,IF(K470&lt;L470,0,0.5)),1-NORMDIST(S470,P470+AJUSTE,SIGMA,TRUE)))</f>
        <v/>
      </c>
      <c r="U470" s="34">
        <f>IF($A470="",NA(),1-T470)</f>
        <v/>
      </c>
    </row>
    <row r="471"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N471" s="34">
        <f>IF($A471="",NA(),IF(C471&gt;0,D471/C471,0))</f>
        <v/>
      </c>
      <c r="O471" s="34">
        <f>IF($A471="",NA(),IF(E471&gt;0,F471/E471,0))</f>
        <v/>
      </c>
      <c r="P471" s="34">
        <f>IF($A471="",NA(),IF(K471+L471&gt;0,K471/(K471+L471),0.5))</f>
        <v/>
      </c>
      <c r="Q471" s="34">
        <f>IF($A471="",NA(),1-P471)</f>
        <v/>
      </c>
      <c r="R471" s="33">
        <f>IF($A471="",NA(),MAX(0,E471-F471)*IF(G471&gt;0,H471/G471,COMPAREC_PAD)*IF(I471&gt;0,J471/I471,VALIDOS_PAD))</f>
        <v/>
      </c>
      <c r="S471" s="34">
        <f>IF($A471="",NA(),IF(R471&gt;0,0.5-(K471-L471)/(2*R471),0))</f>
        <v/>
      </c>
      <c r="T471" s="34">
        <f>IF($A471="",NA(),IF(R471&lt;=0,IF(K471&gt;L471,1,IF(K471&lt;L471,0,0.5)),1-NORMDIST(S471,P471+AJUSTE,SIGMA,TRUE)))</f>
        <v/>
      </c>
      <c r="U471" s="34">
        <f>IF($A471="",NA(),1-T471)</f>
        <v/>
      </c>
    </row>
    <row r="472"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N472" s="34">
        <f>IF($A472="",NA(),IF(C472&gt;0,D472/C472,0))</f>
        <v/>
      </c>
      <c r="O472" s="34">
        <f>IF($A472="",NA(),IF(E472&gt;0,F472/E472,0))</f>
        <v/>
      </c>
      <c r="P472" s="34">
        <f>IF($A472="",NA(),IF(K472+L472&gt;0,K472/(K472+L472),0.5))</f>
        <v/>
      </c>
      <c r="Q472" s="34">
        <f>IF($A472="",NA(),1-P472)</f>
        <v/>
      </c>
      <c r="R472" s="33">
        <f>IF($A472="",NA(),MAX(0,E472-F472)*IF(G472&gt;0,H472/G472,COMPAREC_PAD)*IF(I472&gt;0,J472/I472,VALIDOS_PAD))</f>
        <v/>
      </c>
      <c r="S472" s="34">
        <f>IF($A472="",NA(),IF(R472&gt;0,0.5-(K472-L472)/(2*R472),0))</f>
        <v/>
      </c>
      <c r="T472" s="34">
        <f>IF($A472="",NA(),IF(R472&lt;=0,IF(K472&gt;L472,1,IF(K472&lt;L472,0,0.5)),1-NORMDIST(S472,P472+AJUSTE,SIGMA,TRUE)))</f>
        <v/>
      </c>
      <c r="U472" s="34">
        <f>IF($A472="",NA(),1-T472)</f>
        <v/>
      </c>
    </row>
    <row r="473"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N473" s="34">
        <f>IF($A473="",NA(),IF(C473&gt;0,D473/C473,0))</f>
        <v/>
      </c>
      <c r="O473" s="34">
        <f>IF($A473="",NA(),IF(E473&gt;0,F473/E473,0))</f>
        <v/>
      </c>
      <c r="P473" s="34">
        <f>IF($A473="",NA(),IF(K473+L473&gt;0,K473/(K473+L473),0.5))</f>
        <v/>
      </c>
      <c r="Q473" s="34">
        <f>IF($A473="",NA(),1-P473)</f>
        <v/>
      </c>
      <c r="R473" s="33">
        <f>IF($A473="",NA(),MAX(0,E473-F473)*IF(G473&gt;0,H473/G473,COMPAREC_PAD)*IF(I473&gt;0,J473/I473,VALIDOS_PAD))</f>
        <v/>
      </c>
      <c r="S473" s="34">
        <f>IF($A473="",NA(),IF(R473&gt;0,0.5-(K473-L473)/(2*R473),0))</f>
        <v/>
      </c>
      <c r="T473" s="34">
        <f>IF($A473="",NA(),IF(R473&lt;=0,IF(K473&gt;L473,1,IF(K473&lt;L473,0,0.5)),1-NORMDIST(S473,P473+AJUSTE,SIGMA,TRUE)))</f>
        <v/>
      </c>
      <c r="U473" s="34">
        <f>IF($A473="",NA(),1-T473)</f>
        <v/>
      </c>
    </row>
    <row r="474"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N474" s="34">
        <f>IF($A474="",NA(),IF(C474&gt;0,D474/C474,0))</f>
        <v/>
      </c>
      <c r="O474" s="34">
        <f>IF($A474="",NA(),IF(E474&gt;0,F474/E474,0))</f>
        <v/>
      </c>
      <c r="P474" s="34">
        <f>IF($A474="",NA(),IF(K474+L474&gt;0,K474/(K474+L474),0.5))</f>
        <v/>
      </c>
      <c r="Q474" s="34">
        <f>IF($A474="",NA(),1-P474)</f>
        <v/>
      </c>
      <c r="R474" s="33">
        <f>IF($A474="",NA(),MAX(0,E474-F474)*IF(G474&gt;0,H474/G474,COMPAREC_PAD)*IF(I474&gt;0,J474/I474,VALIDOS_PAD))</f>
        <v/>
      </c>
      <c r="S474" s="34">
        <f>IF($A474="",NA(),IF(R474&gt;0,0.5-(K474-L474)/(2*R474),0))</f>
        <v/>
      </c>
      <c r="T474" s="34">
        <f>IF($A474="",NA(),IF(R474&lt;=0,IF(K474&gt;L474,1,IF(K474&lt;L474,0,0.5)),1-NORMDIST(S474,P474+AJUSTE,SIGMA,TRUE)))</f>
        <v/>
      </c>
      <c r="U474" s="34">
        <f>IF($A474="",NA(),1-T474)</f>
        <v/>
      </c>
    </row>
    <row r="475"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N475" s="34">
        <f>IF($A475="",NA(),IF(C475&gt;0,D475/C475,0))</f>
        <v/>
      </c>
      <c r="O475" s="34">
        <f>IF($A475="",NA(),IF(E475&gt;0,F475/E475,0))</f>
        <v/>
      </c>
      <c r="P475" s="34">
        <f>IF($A475="",NA(),IF(K475+L475&gt;0,K475/(K475+L475),0.5))</f>
        <v/>
      </c>
      <c r="Q475" s="34">
        <f>IF($A475="",NA(),1-P475)</f>
        <v/>
      </c>
      <c r="R475" s="33">
        <f>IF($A475="",NA(),MAX(0,E475-F475)*IF(G475&gt;0,H475/G475,COMPAREC_PAD)*IF(I475&gt;0,J475/I475,VALIDOS_PAD))</f>
        <v/>
      </c>
      <c r="S475" s="34">
        <f>IF($A475="",NA(),IF(R475&gt;0,0.5-(K475-L475)/(2*R475),0))</f>
        <v/>
      </c>
      <c r="T475" s="34">
        <f>IF($A475="",NA(),IF(R475&lt;=0,IF(K475&gt;L475,1,IF(K475&lt;L475,0,0.5)),1-NORMDIST(S475,P475+AJUSTE,SIGMA,TRUE)))</f>
        <v/>
      </c>
      <c r="U475" s="34">
        <f>IF($A475="",NA(),1-T475)</f>
        <v/>
      </c>
    </row>
    <row r="476"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N476" s="34">
        <f>IF($A476="",NA(),IF(C476&gt;0,D476/C476,0))</f>
        <v/>
      </c>
      <c r="O476" s="34">
        <f>IF($A476="",NA(),IF(E476&gt;0,F476/E476,0))</f>
        <v/>
      </c>
      <c r="P476" s="34">
        <f>IF($A476="",NA(),IF(K476+L476&gt;0,K476/(K476+L476),0.5))</f>
        <v/>
      </c>
      <c r="Q476" s="34">
        <f>IF($A476="",NA(),1-P476)</f>
        <v/>
      </c>
      <c r="R476" s="33">
        <f>IF($A476="",NA(),MAX(0,E476-F476)*IF(G476&gt;0,H476/G476,COMPAREC_PAD)*IF(I476&gt;0,J476/I476,VALIDOS_PAD))</f>
        <v/>
      </c>
      <c r="S476" s="34">
        <f>IF($A476="",NA(),IF(R476&gt;0,0.5-(K476-L476)/(2*R476),0))</f>
        <v/>
      </c>
      <c r="T476" s="34">
        <f>IF($A476="",NA(),IF(R476&lt;=0,IF(K476&gt;L476,1,IF(K476&lt;L476,0,0.5)),1-NORMDIST(S476,P476+AJUSTE,SIGMA,TRUE)))</f>
        <v/>
      </c>
      <c r="U476" s="34">
        <f>IF($A476="",NA(),1-T476)</f>
        <v/>
      </c>
    </row>
    <row r="477"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N477" s="34">
        <f>IF($A477="",NA(),IF(C477&gt;0,D477/C477,0))</f>
        <v/>
      </c>
      <c r="O477" s="34">
        <f>IF($A477="",NA(),IF(E477&gt;0,F477/E477,0))</f>
        <v/>
      </c>
      <c r="P477" s="34">
        <f>IF($A477="",NA(),IF(K477+L477&gt;0,K477/(K477+L477),0.5))</f>
        <v/>
      </c>
      <c r="Q477" s="34">
        <f>IF($A477="",NA(),1-P477)</f>
        <v/>
      </c>
      <c r="R477" s="33">
        <f>IF($A477="",NA(),MAX(0,E477-F477)*IF(G477&gt;0,H477/G477,COMPAREC_PAD)*IF(I477&gt;0,J477/I477,VALIDOS_PAD))</f>
        <v/>
      </c>
      <c r="S477" s="34">
        <f>IF($A477="",NA(),IF(R477&gt;0,0.5-(K477-L477)/(2*R477),0))</f>
        <v/>
      </c>
      <c r="T477" s="34">
        <f>IF($A477="",NA(),IF(R477&lt;=0,IF(K477&gt;L477,1,IF(K477&lt;L477,0,0.5)),1-NORMDIST(S477,P477+AJUSTE,SIGMA,TRUE)))</f>
        <v/>
      </c>
      <c r="U477" s="34">
        <f>IF($A477="",NA(),1-T477)</f>
        <v/>
      </c>
    </row>
    <row r="478"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N478" s="34">
        <f>IF($A478="",NA(),IF(C478&gt;0,D478/C478,0))</f>
        <v/>
      </c>
      <c r="O478" s="34">
        <f>IF($A478="",NA(),IF(E478&gt;0,F478/E478,0))</f>
        <v/>
      </c>
      <c r="P478" s="34">
        <f>IF($A478="",NA(),IF(K478+L478&gt;0,K478/(K478+L478),0.5))</f>
        <v/>
      </c>
      <c r="Q478" s="34">
        <f>IF($A478="",NA(),1-P478)</f>
        <v/>
      </c>
      <c r="R478" s="33">
        <f>IF($A478="",NA(),MAX(0,E478-F478)*IF(G478&gt;0,H478/G478,COMPAREC_PAD)*IF(I478&gt;0,J478/I478,VALIDOS_PAD))</f>
        <v/>
      </c>
      <c r="S478" s="34">
        <f>IF($A478="",NA(),IF(R478&gt;0,0.5-(K478-L478)/(2*R478),0))</f>
        <v/>
      </c>
      <c r="T478" s="34">
        <f>IF($A478="",NA(),IF(R478&lt;=0,IF(K478&gt;L478,1,IF(K478&lt;L478,0,0.5)),1-NORMDIST(S478,P478+AJUSTE,SIGMA,TRUE)))</f>
        <v/>
      </c>
      <c r="U478" s="34">
        <f>IF($A478="",NA(),1-T478)</f>
        <v/>
      </c>
    </row>
    <row r="479"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N479" s="34">
        <f>IF($A479="",NA(),IF(C479&gt;0,D479/C479,0))</f>
        <v/>
      </c>
      <c r="O479" s="34">
        <f>IF($A479="",NA(),IF(E479&gt;0,F479/E479,0))</f>
        <v/>
      </c>
      <c r="P479" s="34">
        <f>IF($A479="",NA(),IF(K479+L479&gt;0,K479/(K479+L479),0.5))</f>
        <v/>
      </c>
      <c r="Q479" s="34">
        <f>IF($A479="",NA(),1-P479)</f>
        <v/>
      </c>
      <c r="R479" s="33">
        <f>IF($A479="",NA(),MAX(0,E479-F479)*IF(G479&gt;0,H479/G479,COMPAREC_PAD)*IF(I479&gt;0,J479/I479,VALIDOS_PAD))</f>
        <v/>
      </c>
      <c r="S479" s="34">
        <f>IF($A479="",NA(),IF(R479&gt;0,0.5-(K479-L479)/(2*R479),0))</f>
        <v/>
      </c>
      <c r="T479" s="34">
        <f>IF($A479="",NA(),IF(R479&lt;=0,IF(K479&gt;L479,1,IF(K479&lt;L479,0,0.5)),1-NORMDIST(S479,P479+AJUSTE,SIGMA,TRUE)))</f>
        <v/>
      </c>
      <c r="U479" s="34">
        <f>IF($A479="",NA(),1-T479)</f>
        <v/>
      </c>
    </row>
    <row r="480"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N480" s="34">
        <f>IF($A480="",NA(),IF(C480&gt;0,D480/C480,0))</f>
        <v/>
      </c>
      <c r="O480" s="34">
        <f>IF($A480="",NA(),IF(E480&gt;0,F480/E480,0))</f>
        <v/>
      </c>
      <c r="P480" s="34">
        <f>IF($A480="",NA(),IF(K480+L480&gt;0,K480/(K480+L480),0.5))</f>
        <v/>
      </c>
      <c r="Q480" s="34">
        <f>IF($A480="",NA(),1-P480)</f>
        <v/>
      </c>
      <c r="R480" s="33">
        <f>IF($A480="",NA(),MAX(0,E480-F480)*IF(G480&gt;0,H480/G480,COMPAREC_PAD)*IF(I480&gt;0,J480/I480,VALIDOS_PAD))</f>
        <v/>
      </c>
      <c r="S480" s="34">
        <f>IF($A480="",NA(),IF(R480&gt;0,0.5-(K480-L480)/(2*R480),0))</f>
        <v/>
      </c>
      <c r="T480" s="34">
        <f>IF($A480="",NA(),IF(R480&lt;=0,IF(K480&gt;L480,1,IF(K480&lt;L480,0,0.5)),1-NORMDIST(S480,P480+AJUSTE,SIGMA,TRUE)))</f>
        <v/>
      </c>
      <c r="U480" s="34">
        <f>IF($A480="",NA(),1-T480)</f>
        <v/>
      </c>
    </row>
    <row r="481"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3" t="n"/>
      <c r="N481" s="34">
        <f>IF($A481="",NA(),IF(C481&gt;0,D481/C481,0))</f>
        <v/>
      </c>
      <c r="O481" s="34">
        <f>IF($A481="",NA(),IF(E481&gt;0,F481/E481,0))</f>
        <v/>
      </c>
      <c r="P481" s="34">
        <f>IF($A481="",NA(),IF(K481+L481&gt;0,K481/(K481+L481),0.5))</f>
        <v/>
      </c>
      <c r="Q481" s="34">
        <f>IF($A481="",NA(),1-P481)</f>
        <v/>
      </c>
      <c r="R481" s="33">
        <f>IF($A481="",NA(),MAX(0,E481-F481)*IF(G481&gt;0,H481/G481,COMPAREC_PAD)*IF(I481&gt;0,J481/I481,VALIDOS_PAD))</f>
        <v/>
      </c>
      <c r="S481" s="34">
        <f>IF($A481="",NA(),IF(R481&gt;0,0.5-(K481-L481)/(2*R481),0))</f>
        <v/>
      </c>
      <c r="T481" s="34">
        <f>IF($A481="",NA(),IF(R481&lt;=0,IF(K481&gt;L481,1,IF(K481&lt;L481,0,0.5)),1-NORMDIST(S481,P481+AJUSTE,SIGMA,TRUE)))</f>
        <v/>
      </c>
      <c r="U481" s="34">
        <f>IF($A481="",NA(),1-T481)</f>
        <v/>
      </c>
    </row>
    <row r="482"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  <c r="N482" s="34">
        <f>IF($A482="",NA(),IF(C482&gt;0,D482/C482,0))</f>
        <v/>
      </c>
      <c r="O482" s="34">
        <f>IF($A482="",NA(),IF(E482&gt;0,F482/E482,0))</f>
        <v/>
      </c>
      <c r="P482" s="34">
        <f>IF($A482="",NA(),IF(K482+L482&gt;0,K482/(K482+L482),0.5))</f>
        <v/>
      </c>
      <c r="Q482" s="34">
        <f>IF($A482="",NA(),1-P482)</f>
        <v/>
      </c>
      <c r="R482" s="33">
        <f>IF($A482="",NA(),MAX(0,E482-F482)*IF(G482&gt;0,H482/G482,COMPAREC_PAD)*IF(I482&gt;0,J482/I482,VALIDOS_PAD))</f>
        <v/>
      </c>
      <c r="S482" s="34">
        <f>IF($A482="",NA(),IF(R482&gt;0,0.5-(K482-L482)/(2*R482),0))</f>
        <v/>
      </c>
      <c r="T482" s="34">
        <f>IF($A482="",NA(),IF(R482&lt;=0,IF(K482&gt;L482,1,IF(K482&lt;L482,0,0.5)),1-NORMDIST(S482,P482+AJUSTE,SIGMA,TRUE)))</f>
        <v/>
      </c>
      <c r="U482" s="34">
        <f>IF($A482="",NA(),1-T482)</f>
        <v/>
      </c>
    </row>
    <row r="483"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3" t="n"/>
      <c r="N483" s="34">
        <f>IF($A483="",NA(),IF(C483&gt;0,D483/C483,0))</f>
        <v/>
      </c>
      <c r="O483" s="34">
        <f>IF($A483="",NA(),IF(E483&gt;0,F483/E483,0))</f>
        <v/>
      </c>
      <c r="P483" s="34">
        <f>IF($A483="",NA(),IF(K483+L483&gt;0,K483/(K483+L483),0.5))</f>
        <v/>
      </c>
      <c r="Q483" s="34">
        <f>IF($A483="",NA(),1-P483)</f>
        <v/>
      </c>
      <c r="R483" s="33">
        <f>IF($A483="",NA(),MAX(0,E483-F483)*IF(G483&gt;0,H483/G483,COMPAREC_PAD)*IF(I483&gt;0,J483/I483,VALIDOS_PAD))</f>
        <v/>
      </c>
      <c r="S483" s="34">
        <f>IF($A483="",NA(),IF(R483&gt;0,0.5-(K483-L483)/(2*R483),0))</f>
        <v/>
      </c>
      <c r="T483" s="34">
        <f>IF($A483="",NA(),IF(R483&lt;=0,IF(K483&gt;L483,1,IF(K483&lt;L483,0,0.5)),1-NORMDIST(S483,P483+AJUSTE,SIGMA,TRUE)))</f>
        <v/>
      </c>
      <c r="U483" s="34">
        <f>IF($A483="",NA(),1-T483)</f>
        <v/>
      </c>
    </row>
    <row r="484">
      <c r="C484" s="33" t="n"/>
      <c r="D484" s="33" t="n"/>
      <c r="E484" s="33" t="n"/>
      <c r="F484" s="33" t="n"/>
      <c r="G484" s="33" t="n"/>
      <c r="H484" s="33" t="n"/>
      <c r="I484" s="33" t="n"/>
      <c r="J484" s="33" t="n"/>
      <c r="K484" s="33" t="n"/>
      <c r="L484" s="33" t="n"/>
      <c r="N484" s="34">
        <f>IF($A484="",NA(),IF(C484&gt;0,D484/C484,0))</f>
        <v/>
      </c>
      <c r="O484" s="34">
        <f>IF($A484="",NA(),IF(E484&gt;0,F484/E484,0))</f>
        <v/>
      </c>
      <c r="P484" s="34">
        <f>IF($A484="",NA(),IF(K484+L484&gt;0,K484/(K484+L484),0.5))</f>
        <v/>
      </c>
      <c r="Q484" s="34">
        <f>IF($A484="",NA(),1-P484)</f>
        <v/>
      </c>
      <c r="R484" s="33">
        <f>IF($A484="",NA(),MAX(0,E484-F484)*IF(G484&gt;0,H484/G484,COMPAREC_PAD)*IF(I484&gt;0,J484/I484,VALIDOS_PAD))</f>
        <v/>
      </c>
      <c r="S484" s="34">
        <f>IF($A484="",NA(),IF(R484&gt;0,0.5-(K484-L484)/(2*R484),0))</f>
        <v/>
      </c>
      <c r="T484" s="34">
        <f>IF($A484="",NA(),IF(R484&lt;=0,IF(K484&gt;L484,1,IF(K484&lt;L484,0,0.5)),1-NORMDIST(S484,P484+AJUSTE,SIGMA,TRUE)))</f>
        <v/>
      </c>
      <c r="U484" s="34">
        <f>IF($A484="",NA(),1-T484)</f>
        <v/>
      </c>
    </row>
    <row r="485">
      <c r="C485" s="33" t="n"/>
      <c r="D485" s="33" t="n"/>
      <c r="E485" s="33" t="n"/>
      <c r="F485" s="33" t="n"/>
      <c r="G485" s="33" t="n"/>
      <c r="H485" s="33" t="n"/>
      <c r="I485" s="33" t="n"/>
      <c r="J485" s="33" t="n"/>
      <c r="K485" s="33" t="n"/>
      <c r="L485" s="33" t="n"/>
      <c r="N485" s="34">
        <f>IF($A485="",NA(),IF(C485&gt;0,D485/C485,0))</f>
        <v/>
      </c>
      <c r="O485" s="34">
        <f>IF($A485="",NA(),IF(E485&gt;0,F485/E485,0))</f>
        <v/>
      </c>
      <c r="P485" s="34">
        <f>IF($A485="",NA(),IF(K485+L485&gt;0,K485/(K485+L485),0.5))</f>
        <v/>
      </c>
      <c r="Q485" s="34">
        <f>IF($A485="",NA(),1-P485)</f>
        <v/>
      </c>
      <c r="R485" s="33">
        <f>IF($A485="",NA(),MAX(0,E485-F485)*IF(G485&gt;0,H485/G485,COMPAREC_PAD)*IF(I485&gt;0,J485/I485,VALIDOS_PAD))</f>
        <v/>
      </c>
      <c r="S485" s="34">
        <f>IF($A485="",NA(),IF(R485&gt;0,0.5-(K485-L485)/(2*R485),0))</f>
        <v/>
      </c>
      <c r="T485" s="34">
        <f>IF($A485="",NA(),IF(R485&lt;=0,IF(K485&gt;L485,1,IF(K485&lt;L485,0,0.5)),1-NORMDIST(S485,P485+AJUSTE,SIGMA,TRUE)))</f>
        <v/>
      </c>
      <c r="U485" s="34">
        <f>IF($A485="",NA(),1-T485)</f>
        <v/>
      </c>
    </row>
    <row r="486">
      <c r="C486" s="33" t="n"/>
      <c r="D486" s="33" t="n"/>
      <c r="E486" s="33" t="n"/>
      <c r="F486" s="33" t="n"/>
      <c r="G486" s="33" t="n"/>
      <c r="H486" s="33" t="n"/>
      <c r="I486" s="33" t="n"/>
      <c r="J486" s="33" t="n"/>
      <c r="K486" s="33" t="n"/>
      <c r="L486" s="33" t="n"/>
      <c r="N486" s="34">
        <f>IF($A486="",NA(),IF(C486&gt;0,D486/C486,0))</f>
        <v/>
      </c>
      <c r="O486" s="34">
        <f>IF($A486="",NA(),IF(E486&gt;0,F486/E486,0))</f>
        <v/>
      </c>
      <c r="P486" s="34">
        <f>IF($A486="",NA(),IF(K486+L486&gt;0,K486/(K486+L486),0.5))</f>
        <v/>
      </c>
      <c r="Q486" s="34">
        <f>IF($A486="",NA(),1-P486)</f>
        <v/>
      </c>
      <c r="R486" s="33">
        <f>IF($A486="",NA(),MAX(0,E486-F486)*IF(G486&gt;0,H486/G486,COMPAREC_PAD)*IF(I486&gt;0,J486/I486,VALIDOS_PAD))</f>
        <v/>
      </c>
      <c r="S486" s="34">
        <f>IF($A486="",NA(),IF(R486&gt;0,0.5-(K486-L486)/(2*R486),0))</f>
        <v/>
      </c>
      <c r="T486" s="34">
        <f>IF($A486="",NA(),IF(R486&lt;=0,IF(K486&gt;L486,1,IF(K486&lt;L486,0,0.5)),1-NORMDIST(S486,P486+AJUSTE,SIGMA,TRUE)))</f>
        <v/>
      </c>
      <c r="U486" s="34">
        <f>IF($A486="",NA(),1-T486)</f>
        <v/>
      </c>
    </row>
    <row r="487">
      <c r="C487" s="33" t="n"/>
      <c r="D487" s="33" t="n"/>
      <c r="E487" s="33" t="n"/>
      <c r="F487" s="33" t="n"/>
      <c r="G487" s="33" t="n"/>
      <c r="H487" s="33" t="n"/>
      <c r="I487" s="33" t="n"/>
      <c r="J487" s="33" t="n"/>
      <c r="K487" s="33" t="n"/>
      <c r="L487" s="33" t="n"/>
      <c r="N487" s="34">
        <f>IF($A487="",NA(),IF(C487&gt;0,D487/C487,0))</f>
        <v/>
      </c>
      <c r="O487" s="34">
        <f>IF($A487="",NA(),IF(E487&gt;0,F487/E487,0))</f>
        <v/>
      </c>
      <c r="P487" s="34">
        <f>IF($A487="",NA(),IF(K487+L487&gt;0,K487/(K487+L487),0.5))</f>
        <v/>
      </c>
      <c r="Q487" s="34">
        <f>IF($A487="",NA(),1-P487)</f>
        <v/>
      </c>
      <c r="R487" s="33">
        <f>IF($A487="",NA(),MAX(0,E487-F487)*IF(G487&gt;0,H487/G487,COMPAREC_PAD)*IF(I487&gt;0,J487/I487,VALIDOS_PAD))</f>
        <v/>
      </c>
      <c r="S487" s="34">
        <f>IF($A487="",NA(),IF(R487&gt;0,0.5-(K487-L487)/(2*R487),0))</f>
        <v/>
      </c>
      <c r="T487" s="34">
        <f>IF($A487="",NA(),IF(R487&lt;=0,IF(K487&gt;L487,1,IF(K487&lt;L487,0,0.5)),1-NORMDIST(S487,P487+AJUSTE,SIGMA,TRUE)))</f>
        <v/>
      </c>
      <c r="U487" s="34">
        <f>IF($A487="",NA(),1-T487)</f>
        <v/>
      </c>
    </row>
    <row r="488">
      <c r="C488" s="33" t="n"/>
      <c r="D488" s="33" t="n"/>
      <c r="E488" s="33" t="n"/>
      <c r="F488" s="33" t="n"/>
      <c r="G488" s="33" t="n"/>
      <c r="H488" s="33" t="n"/>
      <c r="I488" s="33" t="n"/>
      <c r="J488" s="33" t="n"/>
      <c r="K488" s="33" t="n"/>
      <c r="L488" s="33" t="n"/>
      <c r="N488" s="34">
        <f>IF($A488="",NA(),IF(C488&gt;0,D488/C488,0))</f>
        <v/>
      </c>
      <c r="O488" s="34">
        <f>IF($A488="",NA(),IF(E488&gt;0,F488/E488,0))</f>
        <v/>
      </c>
      <c r="P488" s="34">
        <f>IF($A488="",NA(),IF(K488+L488&gt;0,K488/(K488+L488),0.5))</f>
        <v/>
      </c>
      <c r="Q488" s="34">
        <f>IF($A488="",NA(),1-P488)</f>
        <v/>
      </c>
      <c r="R488" s="33">
        <f>IF($A488="",NA(),MAX(0,E488-F488)*IF(G488&gt;0,H488/G488,COMPAREC_PAD)*IF(I488&gt;0,J488/I488,VALIDOS_PAD))</f>
        <v/>
      </c>
      <c r="S488" s="34">
        <f>IF($A488="",NA(),IF(R488&gt;0,0.5-(K488-L488)/(2*R488),0))</f>
        <v/>
      </c>
      <c r="T488" s="34">
        <f>IF($A488="",NA(),IF(R488&lt;=0,IF(K488&gt;L488,1,IF(K488&lt;L488,0,0.5)),1-NORMDIST(S488,P488+AJUSTE,SIGMA,TRUE)))</f>
        <v/>
      </c>
      <c r="U488" s="34">
        <f>IF($A488="",NA(),1-T488)</f>
        <v/>
      </c>
    </row>
    <row r="489">
      <c r="C489" s="33" t="n"/>
      <c r="D489" s="33" t="n"/>
      <c r="E489" s="33" t="n"/>
      <c r="F489" s="33" t="n"/>
      <c r="G489" s="33" t="n"/>
      <c r="H489" s="33" t="n"/>
      <c r="I489" s="33" t="n"/>
      <c r="J489" s="33" t="n"/>
      <c r="K489" s="33" t="n"/>
      <c r="L489" s="33" t="n"/>
      <c r="N489" s="34">
        <f>IF($A489="",NA(),IF(C489&gt;0,D489/C489,0))</f>
        <v/>
      </c>
      <c r="O489" s="34">
        <f>IF($A489="",NA(),IF(E489&gt;0,F489/E489,0))</f>
        <v/>
      </c>
      <c r="P489" s="34">
        <f>IF($A489="",NA(),IF(K489+L489&gt;0,K489/(K489+L489),0.5))</f>
        <v/>
      </c>
      <c r="Q489" s="34">
        <f>IF($A489="",NA(),1-P489)</f>
        <v/>
      </c>
      <c r="R489" s="33">
        <f>IF($A489="",NA(),MAX(0,E489-F489)*IF(G489&gt;0,H489/G489,COMPAREC_PAD)*IF(I489&gt;0,J489/I489,VALIDOS_PAD))</f>
        <v/>
      </c>
      <c r="S489" s="34">
        <f>IF($A489="",NA(),IF(R489&gt;0,0.5-(K489-L489)/(2*R489),0))</f>
        <v/>
      </c>
      <c r="T489" s="34">
        <f>IF($A489="",NA(),IF(R489&lt;=0,IF(K489&gt;L489,1,IF(K489&lt;L489,0,0.5)),1-NORMDIST(S489,P489+AJUSTE,SIGMA,TRUE)))</f>
        <v/>
      </c>
      <c r="U489" s="34">
        <f>IF($A489="",NA(),1-T489)</f>
        <v/>
      </c>
    </row>
    <row r="490"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n"/>
      <c r="L490" s="33" t="n"/>
      <c r="N490" s="34">
        <f>IF($A490="",NA(),IF(C490&gt;0,D490/C490,0))</f>
        <v/>
      </c>
      <c r="O490" s="34">
        <f>IF($A490="",NA(),IF(E490&gt;0,F490/E490,0))</f>
        <v/>
      </c>
      <c r="P490" s="34">
        <f>IF($A490="",NA(),IF(K490+L490&gt;0,K490/(K490+L490),0.5))</f>
        <v/>
      </c>
      <c r="Q490" s="34">
        <f>IF($A490="",NA(),1-P490)</f>
        <v/>
      </c>
      <c r="R490" s="33">
        <f>IF($A490="",NA(),MAX(0,E490-F490)*IF(G490&gt;0,H490/G490,COMPAREC_PAD)*IF(I490&gt;0,J490/I490,VALIDOS_PAD))</f>
        <v/>
      </c>
      <c r="S490" s="34">
        <f>IF($A490="",NA(),IF(R490&gt;0,0.5-(K490-L490)/(2*R490),0))</f>
        <v/>
      </c>
      <c r="T490" s="34">
        <f>IF($A490="",NA(),IF(R490&lt;=0,IF(K490&gt;L490,1,IF(K490&lt;L490,0,0.5)),1-NORMDIST(S490,P490+AJUSTE,SIGMA,TRUE)))</f>
        <v/>
      </c>
      <c r="U490" s="34">
        <f>IF($A490="",NA(),1-T490)</f>
        <v/>
      </c>
    </row>
    <row r="491">
      <c r="C491" s="33" t="n"/>
      <c r="D491" s="33" t="n"/>
      <c r="E491" s="33" t="n"/>
      <c r="F491" s="33" t="n"/>
      <c r="G491" s="33" t="n"/>
      <c r="H491" s="33" t="n"/>
      <c r="I491" s="33" t="n"/>
      <c r="J491" s="33" t="n"/>
      <c r="K491" s="33" t="n"/>
      <c r="L491" s="33" t="n"/>
      <c r="N491" s="34">
        <f>IF($A491="",NA(),IF(C491&gt;0,D491/C491,0))</f>
        <v/>
      </c>
      <c r="O491" s="34">
        <f>IF($A491="",NA(),IF(E491&gt;0,F491/E491,0))</f>
        <v/>
      </c>
      <c r="P491" s="34">
        <f>IF($A491="",NA(),IF(K491+L491&gt;0,K491/(K491+L491),0.5))</f>
        <v/>
      </c>
      <c r="Q491" s="34">
        <f>IF($A491="",NA(),1-P491)</f>
        <v/>
      </c>
      <c r="R491" s="33">
        <f>IF($A491="",NA(),MAX(0,E491-F491)*IF(G491&gt;0,H491/G491,COMPAREC_PAD)*IF(I491&gt;0,J491/I491,VALIDOS_PAD))</f>
        <v/>
      </c>
      <c r="S491" s="34">
        <f>IF($A491="",NA(),IF(R491&gt;0,0.5-(K491-L491)/(2*R491),0))</f>
        <v/>
      </c>
      <c r="T491" s="34">
        <f>IF($A491="",NA(),IF(R491&lt;=0,IF(K491&gt;L491,1,IF(K491&lt;L491,0,0.5)),1-NORMDIST(S491,P491+AJUSTE,SIGMA,TRUE)))</f>
        <v/>
      </c>
      <c r="U491" s="34">
        <f>IF($A491="",NA(),1-T491)</f>
        <v/>
      </c>
    </row>
    <row r="492">
      <c r="C492" s="33" t="n"/>
      <c r="D492" s="33" t="n"/>
      <c r="E492" s="33" t="n"/>
      <c r="F492" s="33" t="n"/>
      <c r="G492" s="33" t="n"/>
      <c r="H492" s="33" t="n"/>
      <c r="I492" s="33" t="n"/>
      <c r="J492" s="33" t="n"/>
      <c r="K492" s="33" t="n"/>
      <c r="L492" s="33" t="n"/>
      <c r="N492" s="34">
        <f>IF($A492="",NA(),IF(C492&gt;0,D492/C492,0))</f>
        <v/>
      </c>
      <c r="O492" s="34">
        <f>IF($A492="",NA(),IF(E492&gt;0,F492/E492,0))</f>
        <v/>
      </c>
      <c r="P492" s="34">
        <f>IF($A492="",NA(),IF(K492+L492&gt;0,K492/(K492+L492),0.5))</f>
        <v/>
      </c>
      <c r="Q492" s="34">
        <f>IF($A492="",NA(),1-P492)</f>
        <v/>
      </c>
      <c r="R492" s="33">
        <f>IF($A492="",NA(),MAX(0,E492-F492)*IF(G492&gt;0,H492/G492,COMPAREC_PAD)*IF(I492&gt;0,J492/I492,VALIDOS_PAD))</f>
        <v/>
      </c>
      <c r="S492" s="34">
        <f>IF($A492="",NA(),IF(R492&gt;0,0.5-(K492-L492)/(2*R492),0))</f>
        <v/>
      </c>
      <c r="T492" s="34">
        <f>IF($A492="",NA(),IF(R492&lt;=0,IF(K492&gt;L492,1,IF(K492&lt;L492,0,0.5)),1-NORMDIST(S492,P492+AJUSTE,SIGMA,TRUE)))</f>
        <v/>
      </c>
      <c r="U492" s="34">
        <f>IF($A492="",NA(),1-T492)</f>
        <v/>
      </c>
    </row>
    <row r="493"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n"/>
      <c r="L493" s="33" t="n"/>
      <c r="N493" s="34">
        <f>IF($A493="",NA(),IF(C493&gt;0,D493/C493,0))</f>
        <v/>
      </c>
      <c r="O493" s="34">
        <f>IF($A493="",NA(),IF(E493&gt;0,F493/E493,0))</f>
        <v/>
      </c>
      <c r="P493" s="34">
        <f>IF($A493="",NA(),IF(K493+L493&gt;0,K493/(K493+L493),0.5))</f>
        <v/>
      </c>
      <c r="Q493" s="34">
        <f>IF($A493="",NA(),1-P493)</f>
        <v/>
      </c>
      <c r="R493" s="33">
        <f>IF($A493="",NA(),MAX(0,E493-F493)*IF(G493&gt;0,H493/G493,COMPAREC_PAD)*IF(I493&gt;0,J493/I493,VALIDOS_PAD))</f>
        <v/>
      </c>
      <c r="S493" s="34">
        <f>IF($A493="",NA(),IF(R493&gt;0,0.5-(K493-L493)/(2*R493),0))</f>
        <v/>
      </c>
      <c r="T493" s="34">
        <f>IF($A493="",NA(),IF(R493&lt;=0,IF(K493&gt;L493,1,IF(K493&lt;L493,0,0.5)),1-NORMDIST(S493,P493+AJUSTE,SIGMA,TRUE)))</f>
        <v/>
      </c>
      <c r="U493" s="34">
        <f>IF($A493="",NA(),1-T493)</f>
        <v/>
      </c>
    </row>
    <row r="494">
      <c r="C494" s="33" t="n"/>
      <c r="D494" s="33" t="n"/>
      <c r="E494" s="33" t="n"/>
      <c r="F494" s="33" t="n"/>
      <c r="G494" s="33" t="n"/>
      <c r="H494" s="33" t="n"/>
      <c r="I494" s="33" t="n"/>
      <c r="J494" s="33" t="n"/>
      <c r="K494" s="33" t="n"/>
      <c r="L494" s="33" t="n"/>
      <c r="N494" s="34">
        <f>IF($A494="",NA(),IF(C494&gt;0,D494/C494,0))</f>
        <v/>
      </c>
      <c r="O494" s="34">
        <f>IF($A494="",NA(),IF(E494&gt;0,F494/E494,0))</f>
        <v/>
      </c>
      <c r="P494" s="34">
        <f>IF($A494="",NA(),IF(K494+L494&gt;0,K494/(K494+L494),0.5))</f>
        <v/>
      </c>
      <c r="Q494" s="34">
        <f>IF($A494="",NA(),1-P494)</f>
        <v/>
      </c>
      <c r="R494" s="33">
        <f>IF($A494="",NA(),MAX(0,E494-F494)*IF(G494&gt;0,H494/G494,COMPAREC_PAD)*IF(I494&gt;0,J494/I494,VALIDOS_PAD))</f>
        <v/>
      </c>
      <c r="S494" s="34">
        <f>IF($A494="",NA(),IF(R494&gt;0,0.5-(K494-L494)/(2*R494),0))</f>
        <v/>
      </c>
      <c r="T494" s="34">
        <f>IF($A494="",NA(),IF(R494&lt;=0,IF(K494&gt;L494,1,IF(K494&lt;L494,0,0.5)),1-NORMDIST(S494,P494+AJUSTE,SIGMA,TRUE)))</f>
        <v/>
      </c>
      <c r="U494" s="34">
        <f>IF($A494="",NA(),1-T494)</f>
        <v/>
      </c>
    </row>
    <row r="495">
      <c r="C495" s="33" t="n"/>
      <c r="D495" s="33" t="n"/>
      <c r="E495" s="33" t="n"/>
      <c r="F495" s="33" t="n"/>
      <c r="G495" s="33" t="n"/>
      <c r="H495" s="33" t="n"/>
      <c r="I495" s="33" t="n"/>
      <c r="J495" s="33" t="n"/>
      <c r="K495" s="33" t="n"/>
      <c r="L495" s="33" t="n"/>
      <c r="N495" s="34">
        <f>IF($A495="",NA(),IF(C495&gt;0,D495/C495,0))</f>
        <v/>
      </c>
      <c r="O495" s="34">
        <f>IF($A495="",NA(),IF(E495&gt;0,F495/E495,0))</f>
        <v/>
      </c>
      <c r="P495" s="34">
        <f>IF($A495="",NA(),IF(K495+L495&gt;0,K495/(K495+L495),0.5))</f>
        <v/>
      </c>
      <c r="Q495" s="34">
        <f>IF($A495="",NA(),1-P495)</f>
        <v/>
      </c>
      <c r="R495" s="33">
        <f>IF($A495="",NA(),MAX(0,E495-F495)*IF(G495&gt;0,H495/G495,COMPAREC_PAD)*IF(I495&gt;0,J495/I495,VALIDOS_PAD))</f>
        <v/>
      </c>
      <c r="S495" s="34">
        <f>IF($A495="",NA(),IF(R495&gt;0,0.5-(K495-L495)/(2*R495),0))</f>
        <v/>
      </c>
      <c r="T495" s="34">
        <f>IF($A495="",NA(),IF(R495&lt;=0,IF(K495&gt;L495,1,IF(K495&lt;L495,0,0.5)),1-NORMDIST(S495,P495+AJUSTE,SIGMA,TRUE)))</f>
        <v/>
      </c>
      <c r="U495" s="34">
        <f>IF($A495="",NA(),1-T495)</f>
        <v/>
      </c>
    </row>
    <row r="496"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n"/>
      <c r="L496" s="33" t="n"/>
      <c r="N496" s="34">
        <f>IF($A496="",NA(),IF(C496&gt;0,D496/C496,0))</f>
        <v/>
      </c>
      <c r="O496" s="34">
        <f>IF($A496="",NA(),IF(E496&gt;0,F496/E496,0))</f>
        <v/>
      </c>
      <c r="P496" s="34">
        <f>IF($A496="",NA(),IF(K496+L496&gt;0,K496/(K496+L496),0.5))</f>
        <v/>
      </c>
      <c r="Q496" s="34">
        <f>IF($A496="",NA(),1-P496)</f>
        <v/>
      </c>
      <c r="R496" s="33">
        <f>IF($A496="",NA(),MAX(0,E496-F496)*IF(G496&gt;0,H496/G496,COMPAREC_PAD)*IF(I496&gt;0,J496/I496,VALIDOS_PAD))</f>
        <v/>
      </c>
      <c r="S496" s="34">
        <f>IF($A496="",NA(),IF(R496&gt;0,0.5-(K496-L496)/(2*R496),0))</f>
        <v/>
      </c>
      <c r="T496" s="34">
        <f>IF($A496="",NA(),IF(R496&lt;=0,IF(K496&gt;L496,1,IF(K496&lt;L496,0,0.5)),1-NORMDIST(S496,P496+AJUSTE,SIGMA,TRUE)))</f>
        <v/>
      </c>
      <c r="U496" s="34">
        <f>IF($A496="",NA(),1-T496)</f>
        <v/>
      </c>
    </row>
    <row r="497">
      <c r="C497" s="33" t="n"/>
      <c r="D497" s="33" t="n"/>
      <c r="E497" s="33" t="n"/>
      <c r="F497" s="33" t="n"/>
      <c r="G497" s="33" t="n"/>
      <c r="H497" s="33" t="n"/>
      <c r="I497" s="33" t="n"/>
      <c r="J497" s="33" t="n"/>
      <c r="K497" s="33" t="n"/>
      <c r="L497" s="33" t="n"/>
      <c r="N497" s="34">
        <f>IF($A497="",NA(),IF(C497&gt;0,D497/C497,0))</f>
        <v/>
      </c>
      <c r="O497" s="34">
        <f>IF($A497="",NA(),IF(E497&gt;0,F497/E497,0))</f>
        <v/>
      </c>
      <c r="P497" s="34">
        <f>IF($A497="",NA(),IF(K497+L497&gt;0,K497/(K497+L497),0.5))</f>
        <v/>
      </c>
      <c r="Q497" s="34">
        <f>IF($A497="",NA(),1-P497)</f>
        <v/>
      </c>
      <c r="R497" s="33">
        <f>IF($A497="",NA(),MAX(0,E497-F497)*IF(G497&gt;0,H497/G497,COMPAREC_PAD)*IF(I497&gt;0,J497/I497,VALIDOS_PAD))</f>
        <v/>
      </c>
      <c r="S497" s="34">
        <f>IF($A497="",NA(),IF(R497&gt;0,0.5-(K497-L497)/(2*R497),0))</f>
        <v/>
      </c>
      <c r="T497" s="34">
        <f>IF($A497="",NA(),IF(R497&lt;=0,IF(K497&gt;L497,1,IF(K497&lt;L497,0,0.5)),1-NORMDIST(S497,P497+AJUSTE,SIGMA,TRUE)))</f>
        <v/>
      </c>
      <c r="U497" s="34">
        <f>IF($A497="",NA(),1-T497)</f>
        <v/>
      </c>
    </row>
    <row r="498">
      <c r="C498" s="33" t="n"/>
      <c r="D498" s="33" t="n"/>
      <c r="E498" s="33" t="n"/>
      <c r="F498" s="33" t="n"/>
      <c r="G498" s="33" t="n"/>
      <c r="H498" s="33" t="n"/>
      <c r="I498" s="33" t="n"/>
      <c r="J498" s="33" t="n"/>
      <c r="K498" s="33" t="n"/>
      <c r="L498" s="33" t="n"/>
      <c r="N498" s="34">
        <f>IF($A498="",NA(),IF(C498&gt;0,D498/C498,0))</f>
        <v/>
      </c>
      <c r="O498" s="34">
        <f>IF($A498="",NA(),IF(E498&gt;0,F498/E498,0))</f>
        <v/>
      </c>
      <c r="P498" s="34">
        <f>IF($A498="",NA(),IF(K498+L498&gt;0,K498/(K498+L498),0.5))</f>
        <v/>
      </c>
      <c r="Q498" s="34">
        <f>IF($A498="",NA(),1-P498)</f>
        <v/>
      </c>
      <c r="R498" s="33">
        <f>IF($A498="",NA(),MAX(0,E498-F498)*IF(G498&gt;0,H498/G498,COMPAREC_PAD)*IF(I498&gt;0,J498/I498,VALIDOS_PAD))</f>
        <v/>
      </c>
      <c r="S498" s="34">
        <f>IF($A498="",NA(),IF(R498&gt;0,0.5-(K498-L498)/(2*R498),0))</f>
        <v/>
      </c>
      <c r="T498" s="34">
        <f>IF($A498="",NA(),IF(R498&lt;=0,IF(K498&gt;L498,1,IF(K498&lt;L498,0,0.5)),1-NORMDIST(S498,P498+AJUSTE,SIGMA,TRUE)))</f>
        <v/>
      </c>
      <c r="U498" s="34">
        <f>IF($A498="",NA(),1-T498)</f>
        <v/>
      </c>
    </row>
    <row r="499"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n"/>
      <c r="L499" s="33" t="n"/>
      <c r="N499" s="34">
        <f>IF($A499="",NA(),IF(C499&gt;0,D499/C499,0))</f>
        <v/>
      </c>
      <c r="O499" s="34">
        <f>IF($A499="",NA(),IF(E499&gt;0,F499/E499,0))</f>
        <v/>
      </c>
      <c r="P499" s="34">
        <f>IF($A499="",NA(),IF(K499+L499&gt;0,K499/(K499+L499),0.5))</f>
        <v/>
      </c>
      <c r="Q499" s="34">
        <f>IF($A499="",NA(),1-P499)</f>
        <v/>
      </c>
      <c r="R499" s="33">
        <f>IF($A499="",NA(),MAX(0,E499-F499)*IF(G499&gt;0,H499/G499,COMPAREC_PAD)*IF(I499&gt;0,J499/I499,VALIDOS_PAD))</f>
        <v/>
      </c>
      <c r="S499" s="34">
        <f>IF($A499="",NA(),IF(R499&gt;0,0.5-(K499-L499)/(2*R499),0))</f>
        <v/>
      </c>
      <c r="T499" s="34">
        <f>IF($A499="",NA(),IF(R499&lt;=0,IF(K499&gt;L499,1,IF(K499&lt;L499,0,0.5)),1-NORMDIST(S499,P499+AJUSTE,SIGMA,TRUE)))</f>
        <v/>
      </c>
      <c r="U499" s="34">
        <f>IF($A499="",NA(),1-T499)</f>
        <v/>
      </c>
    </row>
    <row r="500">
      <c r="C500" s="33" t="n"/>
      <c r="D500" s="33" t="n"/>
      <c r="E500" s="33" t="n"/>
      <c r="F500" s="33" t="n"/>
      <c r="G500" s="33" t="n"/>
      <c r="H500" s="33" t="n"/>
      <c r="I500" s="33" t="n"/>
      <c r="J500" s="33" t="n"/>
      <c r="K500" s="33" t="n"/>
      <c r="L500" s="33" t="n"/>
      <c r="N500" s="34">
        <f>IF($A500="",NA(),IF(C500&gt;0,D500/C500,0))</f>
        <v/>
      </c>
      <c r="O500" s="34">
        <f>IF($A500="",NA(),IF(E500&gt;0,F500/E500,0))</f>
        <v/>
      </c>
      <c r="P500" s="34">
        <f>IF($A500="",NA(),IF(K500+L500&gt;0,K500/(K500+L500),0.5))</f>
        <v/>
      </c>
      <c r="Q500" s="34">
        <f>IF($A500="",NA(),1-P500)</f>
        <v/>
      </c>
      <c r="R500" s="33">
        <f>IF($A500="",NA(),MAX(0,E500-F500)*IF(G500&gt;0,H500/G500,COMPAREC_PAD)*IF(I500&gt;0,J500/I500,VALIDOS_PAD))</f>
        <v/>
      </c>
      <c r="S500" s="34">
        <f>IF($A500="",NA(),IF(R500&gt;0,0.5-(K500-L500)/(2*R500),0))</f>
        <v/>
      </c>
      <c r="T500" s="34">
        <f>IF($A500="",NA(),IF(R500&lt;=0,IF(K500&gt;L500,1,IF(K500&lt;L500,0,0.5)),1-NORMDIST(S500,P500+AJUSTE,SIGMA,TRUE)))</f>
        <v/>
      </c>
      <c r="U500" s="34">
        <f>IF($A500="",NA(),1-T500)</f>
        <v/>
      </c>
    </row>
    <row r="501">
      <c r="C501" s="33" t="n"/>
      <c r="D501" s="33" t="n"/>
      <c r="E501" s="33" t="n"/>
      <c r="F501" s="33" t="n"/>
      <c r="G501" s="33" t="n"/>
      <c r="H501" s="33" t="n"/>
      <c r="I501" s="33" t="n"/>
      <c r="J501" s="33" t="n"/>
      <c r="K501" s="33" t="n"/>
      <c r="L501" s="33" t="n"/>
      <c r="N501" s="34">
        <f>IF($A501="",NA(),IF(C501&gt;0,D501/C501,0))</f>
        <v/>
      </c>
      <c r="O501" s="34">
        <f>IF($A501="",NA(),IF(E501&gt;0,F501/E501,0))</f>
        <v/>
      </c>
      <c r="P501" s="34">
        <f>IF($A501="",NA(),IF(K501+L501&gt;0,K501/(K501+L501),0.5))</f>
        <v/>
      </c>
      <c r="Q501" s="34">
        <f>IF($A501="",NA(),1-P501)</f>
        <v/>
      </c>
      <c r="R501" s="33">
        <f>IF($A501="",NA(),MAX(0,E501-F501)*IF(G501&gt;0,H501/G501,COMPAREC_PAD)*IF(I501&gt;0,J501/I501,VALIDOS_PAD))</f>
        <v/>
      </c>
      <c r="S501" s="34">
        <f>IF($A501="",NA(),IF(R501&gt;0,0.5-(K501-L501)/(2*R501),0))</f>
        <v/>
      </c>
      <c r="T501" s="34">
        <f>IF($A501="",NA(),IF(R501&lt;=0,IF(K501&gt;L501,1,IF(K501&lt;L501,0,0.5)),1-NORMDIST(S501,P501+AJUSTE,SIGMA,TRUE)))</f>
        <v/>
      </c>
      <c r="U501" s="34">
        <f>IF($A501="",NA(),1-T501)</f>
        <v/>
      </c>
    </row>
    <row r="502">
      <c r="C502" s="33" t="n"/>
      <c r="D502" s="33" t="n"/>
      <c r="E502" s="33" t="n"/>
      <c r="F502" s="33" t="n"/>
      <c r="G502" s="33" t="n"/>
      <c r="H502" s="33" t="n"/>
      <c r="I502" s="33" t="n"/>
      <c r="J502" s="33" t="n"/>
      <c r="K502" s="33" t="n"/>
      <c r="L502" s="33" t="n"/>
      <c r="N502" s="34">
        <f>IF($A502="",NA(),IF(C502&gt;0,D502/C502,0))</f>
        <v/>
      </c>
      <c r="O502" s="34">
        <f>IF($A502="",NA(),IF(E502&gt;0,F502/E502,0))</f>
        <v/>
      </c>
      <c r="P502" s="34">
        <f>IF($A502="",NA(),IF(K502+L502&gt;0,K502/(K502+L502),0.5))</f>
        <v/>
      </c>
      <c r="Q502" s="34">
        <f>IF($A502="",NA(),1-P502)</f>
        <v/>
      </c>
      <c r="R502" s="33">
        <f>IF($A502="",NA(),MAX(0,E502-F502)*IF(G502&gt;0,H502/G502,COMPAREC_PAD)*IF(I502&gt;0,J502/I502,VALIDOS_PAD))</f>
        <v/>
      </c>
      <c r="S502" s="34">
        <f>IF($A502="",NA(),IF(R502&gt;0,0.5-(K502-L502)/(2*R502),0))</f>
        <v/>
      </c>
      <c r="T502" s="34">
        <f>IF($A502="",NA(),IF(R502&lt;=0,IF(K502&gt;L502,1,IF(K502&lt;L502,0,0.5)),1-NORMDIST(S502,P502+AJUSTE,SIGMA,TRUE)))</f>
        <v/>
      </c>
      <c r="U502" s="34">
        <f>IF($A502="",NA(),1-T502)</f>
        <v/>
      </c>
    </row>
    <row r="503">
      <c r="C503" s="33" t="n"/>
      <c r="D503" s="33" t="n"/>
      <c r="E503" s="33" t="n"/>
      <c r="F503" s="33" t="n"/>
      <c r="G503" s="33" t="n"/>
      <c r="H503" s="33" t="n"/>
      <c r="I503" s="33" t="n"/>
      <c r="J503" s="33" t="n"/>
      <c r="K503" s="33" t="n"/>
      <c r="L503" s="33" t="n"/>
      <c r="N503" s="34">
        <f>IF($A503="",NA(),IF(C503&gt;0,D503/C503,0))</f>
        <v/>
      </c>
      <c r="O503" s="34">
        <f>IF($A503="",NA(),IF(E503&gt;0,F503/E503,0))</f>
        <v/>
      </c>
      <c r="P503" s="34">
        <f>IF($A503="",NA(),IF(K503+L503&gt;0,K503/(K503+L503),0.5))</f>
        <v/>
      </c>
      <c r="Q503" s="34">
        <f>IF($A503="",NA(),1-P503)</f>
        <v/>
      </c>
      <c r="R503" s="33">
        <f>IF($A503="",NA(),MAX(0,E503-F503)*IF(G503&gt;0,H503/G503,COMPAREC_PAD)*IF(I503&gt;0,J503/I503,VALIDOS_PAD))</f>
        <v/>
      </c>
      <c r="S503" s="34">
        <f>IF($A503="",NA(),IF(R503&gt;0,0.5-(K503-L503)/(2*R503),0))</f>
        <v/>
      </c>
      <c r="T503" s="34">
        <f>IF($A503="",NA(),IF(R503&lt;=0,IF(K503&gt;L503,1,IF(K503&lt;L503,0,0.5)),1-NORMDIST(S503,P503+AJUSTE,SIGMA,TRUE)))</f>
        <v/>
      </c>
      <c r="U503" s="34">
        <f>IF($A503="",NA(),1-T503)</f>
        <v/>
      </c>
    </row>
    <row r="504"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  <c r="N504" s="34">
        <f>IF($A504="",NA(),IF(C504&gt;0,D504/C504,0))</f>
        <v/>
      </c>
      <c r="O504" s="34">
        <f>IF($A504="",NA(),IF(E504&gt;0,F504/E504,0))</f>
        <v/>
      </c>
      <c r="P504" s="34">
        <f>IF($A504="",NA(),IF(K504+L504&gt;0,K504/(K504+L504),0.5))</f>
        <v/>
      </c>
      <c r="Q504" s="34">
        <f>IF($A504="",NA(),1-P504)</f>
        <v/>
      </c>
      <c r="R504" s="33">
        <f>IF($A504="",NA(),MAX(0,E504-F504)*IF(G504&gt;0,H504/G504,COMPAREC_PAD)*IF(I504&gt;0,J504/I504,VALIDOS_PAD))</f>
        <v/>
      </c>
      <c r="S504" s="34">
        <f>IF($A504="",NA(),IF(R504&gt;0,0.5-(K504-L504)/(2*R504),0))</f>
        <v/>
      </c>
      <c r="T504" s="34">
        <f>IF($A504="",NA(),IF(R504&lt;=0,IF(K504&gt;L504,1,IF(K504&lt;L504,0,0.5)),1-NORMDIST(S504,P504+AJUSTE,SIGMA,TRUE)))</f>
        <v/>
      </c>
      <c r="U504" s="34">
        <f>IF($A504="",NA(),1-T504)</f>
        <v/>
      </c>
    </row>
    <row r="505">
      <c r="C505" s="33" t="n"/>
      <c r="D505" s="33" t="n"/>
      <c r="E505" s="33" t="n"/>
      <c r="F505" s="33" t="n"/>
      <c r="G505" s="33" t="n"/>
      <c r="H505" s="33" t="n"/>
      <c r="I505" s="33" t="n"/>
      <c r="J505" s="33" t="n"/>
      <c r="K505" s="33" t="n"/>
      <c r="L505" s="33" t="n"/>
      <c r="N505" s="34">
        <f>IF($A505="",NA(),IF(C505&gt;0,D505/C505,0))</f>
        <v/>
      </c>
      <c r="O505" s="34">
        <f>IF($A505="",NA(),IF(E505&gt;0,F505/E505,0))</f>
        <v/>
      </c>
      <c r="P505" s="34">
        <f>IF($A505="",NA(),IF(K505+L505&gt;0,K505/(K505+L505),0.5))</f>
        <v/>
      </c>
      <c r="Q505" s="34">
        <f>IF($A505="",NA(),1-P505)</f>
        <v/>
      </c>
      <c r="R505" s="33">
        <f>IF($A505="",NA(),MAX(0,E505-F505)*IF(G505&gt;0,H505/G505,COMPAREC_PAD)*IF(I505&gt;0,J505/I505,VALIDOS_PAD))</f>
        <v/>
      </c>
      <c r="S505" s="34">
        <f>IF($A505="",NA(),IF(R505&gt;0,0.5-(K505-L505)/(2*R505),0))</f>
        <v/>
      </c>
      <c r="T505" s="34">
        <f>IF($A505="",NA(),IF(R505&lt;=0,IF(K505&gt;L505,1,IF(K505&lt;L505,0,0.5)),1-NORMDIST(S505,P505+AJUSTE,SIGMA,TRUE)))</f>
        <v/>
      </c>
      <c r="U505" s="34">
        <f>IF($A505="",NA(),1-T505)</f>
        <v/>
      </c>
    </row>
    <row r="506">
      <c r="C506" s="33" t="n"/>
      <c r="D506" s="33" t="n"/>
      <c r="E506" s="33" t="n"/>
      <c r="F506" s="33" t="n"/>
      <c r="G506" s="33" t="n"/>
      <c r="H506" s="33" t="n"/>
      <c r="I506" s="33" t="n"/>
      <c r="J506" s="33" t="n"/>
      <c r="K506" s="33" t="n"/>
      <c r="L506" s="33" t="n"/>
      <c r="N506" s="34">
        <f>IF($A506="",NA(),IF(C506&gt;0,D506/C506,0))</f>
        <v/>
      </c>
      <c r="O506" s="34">
        <f>IF($A506="",NA(),IF(E506&gt;0,F506/E506,0))</f>
        <v/>
      </c>
      <c r="P506" s="34">
        <f>IF($A506="",NA(),IF(K506+L506&gt;0,K506/(K506+L506),0.5))</f>
        <v/>
      </c>
      <c r="Q506" s="34">
        <f>IF($A506="",NA(),1-P506)</f>
        <v/>
      </c>
      <c r="R506" s="33">
        <f>IF($A506="",NA(),MAX(0,E506-F506)*IF(G506&gt;0,H506/G506,COMPAREC_PAD)*IF(I506&gt;0,J506/I506,VALIDOS_PAD))</f>
        <v/>
      </c>
      <c r="S506" s="34">
        <f>IF($A506="",NA(),IF(R506&gt;0,0.5-(K506-L506)/(2*R506),0))</f>
        <v/>
      </c>
      <c r="T506" s="34">
        <f>IF($A506="",NA(),IF(R506&lt;=0,IF(K506&gt;L506,1,IF(K506&lt;L506,0,0.5)),1-NORMDIST(S506,P506+AJUSTE,SIGMA,TRUE)))</f>
        <v/>
      </c>
      <c r="U506" s="34">
        <f>IF($A506="",NA(),1-T506)</f>
        <v/>
      </c>
    </row>
    <row r="507">
      <c r="C507" s="33" t="n"/>
      <c r="D507" s="33" t="n"/>
      <c r="E507" s="33" t="n"/>
      <c r="F507" s="33" t="n"/>
      <c r="G507" s="33" t="n"/>
      <c r="H507" s="33" t="n"/>
      <c r="I507" s="33" t="n"/>
      <c r="J507" s="33" t="n"/>
      <c r="K507" s="33" t="n"/>
      <c r="L507" s="33" t="n"/>
      <c r="N507" s="34">
        <f>IF($A507="",NA(),IF(C507&gt;0,D507/C507,0))</f>
        <v/>
      </c>
      <c r="O507" s="34">
        <f>IF($A507="",NA(),IF(E507&gt;0,F507/E507,0))</f>
        <v/>
      </c>
      <c r="P507" s="34">
        <f>IF($A507="",NA(),IF(K507+L507&gt;0,K507/(K507+L507),0.5))</f>
        <v/>
      </c>
      <c r="Q507" s="34">
        <f>IF($A507="",NA(),1-P507)</f>
        <v/>
      </c>
      <c r="R507" s="33">
        <f>IF($A507="",NA(),MAX(0,E507-F507)*IF(G507&gt;0,H507/G507,COMPAREC_PAD)*IF(I507&gt;0,J507/I507,VALIDOS_PAD))</f>
        <v/>
      </c>
      <c r="S507" s="34">
        <f>IF($A507="",NA(),IF(R507&gt;0,0.5-(K507-L507)/(2*R507),0))</f>
        <v/>
      </c>
      <c r="T507" s="34">
        <f>IF($A507="",NA(),IF(R507&lt;=0,IF(K507&gt;L507,1,IF(K507&lt;L507,0,0.5)),1-NORMDIST(S507,P507+AJUSTE,SIGMA,TRUE)))</f>
        <v/>
      </c>
      <c r="U507" s="34">
        <f>IF($A507="",NA(),1-T507)</f>
        <v/>
      </c>
    </row>
    <row r="508"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n"/>
      <c r="L508" s="33" t="n"/>
      <c r="N508" s="34">
        <f>IF($A508="",NA(),IF(C508&gt;0,D508/C508,0))</f>
        <v/>
      </c>
      <c r="O508" s="34">
        <f>IF($A508="",NA(),IF(E508&gt;0,F508/E508,0))</f>
        <v/>
      </c>
      <c r="P508" s="34">
        <f>IF($A508="",NA(),IF(K508+L508&gt;0,K508/(K508+L508),0.5))</f>
        <v/>
      </c>
      <c r="Q508" s="34">
        <f>IF($A508="",NA(),1-P508)</f>
        <v/>
      </c>
      <c r="R508" s="33">
        <f>IF($A508="",NA(),MAX(0,E508-F508)*IF(G508&gt;0,H508/G508,COMPAREC_PAD)*IF(I508&gt;0,J508/I508,VALIDOS_PAD))</f>
        <v/>
      </c>
      <c r="S508" s="34">
        <f>IF($A508="",NA(),IF(R508&gt;0,0.5-(K508-L508)/(2*R508),0))</f>
        <v/>
      </c>
      <c r="T508" s="34">
        <f>IF($A508="",NA(),IF(R508&lt;=0,IF(K508&gt;L508,1,IF(K508&lt;L508,0,0.5)),1-NORMDIST(S508,P508+AJUSTE,SIGMA,TRUE)))</f>
        <v/>
      </c>
      <c r="U508" s="34">
        <f>IF($A508="",NA(),1-T508)</f>
        <v/>
      </c>
    </row>
    <row r="509">
      <c r="C509" s="33" t="n"/>
      <c r="D509" s="33" t="n"/>
      <c r="E509" s="33" t="n"/>
      <c r="F509" s="33" t="n"/>
      <c r="G509" s="33" t="n"/>
      <c r="H509" s="33" t="n"/>
      <c r="I509" s="33" t="n"/>
      <c r="J509" s="33" t="n"/>
      <c r="K509" s="33" t="n"/>
      <c r="L509" s="33" t="n"/>
      <c r="N509" s="34">
        <f>IF($A509="",NA(),IF(C509&gt;0,D509/C509,0))</f>
        <v/>
      </c>
      <c r="O509" s="34">
        <f>IF($A509="",NA(),IF(E509&gt;0,F509/E509,0))</f>
        <v/>
      </c>
      <c r="P509" s="34">
        <f>IF($A509="",NA(),IF(K509+L509&gt;0,K509/(K509+L509),0.5))</f>
        <v/>
      </c>
      <c r="Q509" s="34">
        <f>IF($A509="",NA(),1-P509)</f>
        <v/>
      </c>
      <c r="R509" s="33">
        <f>IF($A509="",NA(),MAX(0,E509-F509)*IF(G509&gt;0,H509/G509,COMPAREC_PAD)*IF(I509&gt;0,J509/I509,VALIDOS_PAD))</f>
        <v/>
      </c>
      <c r="S509" s="34">
        <f>IF($A509="",NA(),IF(R509&gt;0,0.5-(K509-L509)/(2*R509),0))</f>
        <v/>
      </c>
      <c r="T509" s="34">
        <f>IF($A509="",NA(),IF(R509&lt;=0,IF(K509&gt;L509,1,IF(K509&lt;L509,0,0.5)),1-NORMDIST(S509,P509+AJUSTE,SIGMA,TRUE)))</f>
        <v/>
      </c>
      <c r="U509" s="34">
        <f>IF($A509="",NA(),1-T509)</f>
        <v/>
      </c>
    </row>
    <row r="510">
      <c r="C510" s="33" t="n"/>
      <c r="D510" s="33" t="n"/>
      <c r="E510" s="33" t="n"/>
      <c r="F510" s="33" t="n"/>
      <c r="G510" s="33" t="n"/>
      <c r="H510" s="33" t="n"/>
      <c r="I510" s="33" t="n"/>
      <c r="J510" s="33" t="n"/>
      <c r="K510" s="33" t="n"/>
      <c r="L510" s="33" t="n"/>
      <c r="N510" s="34">
        <f>IF($A510="",NA(),IF(C510&gt;0,D510/C510,0))</f>
        <v/>
      </c>
      <c r="O510" s="34">
        <f>IF($A510="",NA(),IF(E510&gt;0,F510/E510,0))</f>
        <v/>
      </c>
      <c r="P510" s="34">
        <f>IF($A510="",NA(),IF(K510+L510&gt;0,K510/(K510+L510),0.5))</f>
        <v/>
      </c>
      <c r="Q510" s="34">
        <f>IF($A510="",NA(),1-P510)</f>
        <v/>
      </c>
      <c r="R510" s="33">
        <f>IF($A510="",NA(),MAX(0,E510-F510)*IF(G510&gt;0,H510/G510,COMPAREC_PAD)*IF(I510&gt;0,J510/I510,VALIDOS_PAD))</f>
        <v/>
      </c>
      <c r="S510" s="34">
        <f>IF($A510="",NA(),IF(R510&gt;0,0.5-(K510-L510)/(2*R510),0))</f>
        <v/>
      </c>
      <c r="T510" s="34">
        <f>IF($A510="",NA(),IF(R510&lt;=0,IF(K510&gt;L510,1,IF(K510&lt;L510,0,0.5)),1-NORMDIST(S510,P510+AJUSTE,SIGMA,TRUE)))</f>
        <v/>
      </c>
      <c r="U510" s="34">
        <f>IF($A510="",NA(),1-T510)</f>
        <v/>
      </c>
    </row>
    <row r="511">
      <c r="C511" s="33" t="n"/>
      <c r="D511" s="33" t="n"/>
      <c r="E511" s="33" t="n"/>
      <c r="F511" s="33" t="n"/>
      <c r="G511" s="33" t="n"/>
      <c r="H511" s="33" t="n"/>
      <c r="I511" s="33" t="n"/>
      <c r="J511" s="33" t="n"/>
      <c r="K511" s="33" t="n"/>
      <c r="L511" s="33" t="n"/>
      <c r="N511" s="34">
        <f>IF($A511="",NA(),IF(C511&gt;0,D511/C511,0))</f>
        <v/>
      </c>
      <c r="O511" s="34">
        <f>IF($A511="",NA(),IF(E511&gt;0,F511/E511,0))</f>
        <v/>
      </c>
      <c r="P511" s="34">
        <f>IF($A511="",NA(),IF(K511+L511&gt;0,K511/(K511+L511),0.5))</f>
        <v/>
      </c>
      <c r="Q511" s="34">
        <f>IF($A511="",NA(),1-P511)</f>
        <v/>
      </c>
      <c r="R511" s="33">
        <f>IF($A511="",NA(),MAX(0,E511-F511)*IF(G511&gt;0,H511/G511,COMPAREC_PAD)*IF(I511&gt;0,J511/I511,VALIDOS_PAD))</f>
        <v/>
      </c>
      <c r="S511" s="34">
        <f>IF($A511="",NA(),IF(R511&gt;0,0.5-(K511-L511)/(2*R511),0))</f>
        <v/>
      </c>
      <c r="T511" s="34">
        <f>IF($A511="",NA(),IF(R511&lt;=0,IF(K511&gt;L511,1,IF(K511&lt;L511,0,0.5)),1-NORMDIST(S511,P511+AJUSTE,SIGMA,TRUE)))</f>
        <v/>
      </c>
      <c r="U511" s="34">
        <f>IF($A511="",NA(),1-T511)</f>
        <v/>
      </c>
    </row>
    <row r="512">
      <c r="C512" s="33" t="n"/>
      <c r="D512" s="33" t="n"/>
      <c r="E512" s="33" t="n"/>
      <c r="F512" s="33" t="n"/>
      <c r="G512" s="33" t="n"/>
      <c r="H512" s="33" t="n"/>
      <c r="I512" s="33" t="n"/>
      <c r="J512" s="33" t="n"/>
      <c r="K512" s="33" t="n"/>
      <c r="L512" s="33" t="n"/>
      <c r="N512" s="34">
        <f>IF($A512="",NA(),IF(C512&gt;0,D512/C512,0))</f>
        <v/>
      </c>
      <c r="O512" s="34">
        <f>IF($A512="",NA(),IF(E512&gt;0,F512/E512,0))</f>
        <v/>
      </c>
      <c r="P512" s="34">
        <f>IF($A512="",NA(),IF(K512+L512&gt;0,K512/(K512+L512),0.5))</f>
        <v/>
      </c>
      <c r="Q512" s="34">
        <f>IF($A512="",NA(),1-P512)</f>
        <v/>
      </c>
      <c r="R512" s="33">
        <f>IF($A512="",NA(),MAX(0,E512-F512)*IF(G512&gt;0,H512/G512,COMPAREC_PAD)*IF(I512&gt;0,J512/I512,VALIDOS_PAD))</f>
        <v/>
      </c>
      <c r="S512" s="34">
        <f>IF($A512="",NA(),IF(R512&gt;0,0.5-(K512-L512)/(2*R512),0))</f>
        <v/>
      </c>
      <c r="T512" s="34">
        <f>IF($A512="",NA(),IF(R512&lt;=0,IF(K512&gt;L512,1,IF(K512&lt;L512,0,0.5)),1-NORMDIST(S512,P512+AJUSTE,SIGMA,TRUE)))</f>
        <v/>
      </c>
      <c r="U512" s="34">
        <f>IF($A512="",NA(),1-T512)</f>
        <v/>
      </c>
    </row>
    <row r="513">
      <c r="C513" s="33" t="n"/>
      <c r="D513" s="33" t="n"/>
      <c r="E513" s="33" t="n"/>
      <c r="F513" s="33" t="n"/>
      <c r="G513" s="33" t="n"/>
      <c r="H513" s="33" t="n"/>
      <c r="I513" s="33" t="n"/>
      <c r="J513" s="33" t="n"/>
      <c r="K513" s="33" t="n"/>
      <c r="L513" s="33" t="n"/>
      <c r="N513" s="34">
        <f>IF($A513="",NA(),IF(C513&gt;0,D513/C513,0))</f>
        <v/>
      </c>
      <c r="O513" s="34">
        <f>IF($A513="",NA(),IF(E513&gt;0,F513/E513,0))</f>
        <v/>
      </c>
      <c r="P513" s="34">
        <f>IF($A513="",NA(),IF(K513+L513&gt;0,K513/(K513+L513),0.5))</f>
        <v/>
      </c>
      <c r="Q513" s="34">
        <f>IF($A513="",NA(),1-P513)</f>
        <v/>
      </c>
      <c r="R513" s="33">
        <f>IF($A513="",NA(),MAX(0,E513-F513)*IF(G513&gt;0,H513/G513,COMPAREC_PAD)*IF(I513&gt;0,J513/I513,VALIDOS_PAD))</f>
        <v/>
      </c>
      <c r="S513" s="34">
        <f>IF($A513="",NA(),IF(R513&gt;0,0.5-(K513-L513)/(2*R513),0))</f>
        <v/>
      </c>
      <c r="T513" s="34">
        <f>IF($A513="",NA(),IF(R513&lt;=0,IF(K513&gt;L513,1,IF(K513&lt;L513,0,0.5)),1-NORMDIST(S513,P513+AJUSTE,SIGMA,TRUE)))</f>
        <v/>
      </c>
      <c r="U513" s="34">
        <f>IF($A513="",NA(),1-T513)</f>
        <v/>
      </c>
    </row>
    <row r="514">
      <c r="C514" s="33" t="n"/>
      <c r="D514" s="33" t="n"/>
      <c r="E514" s="33" t="n"/>
      <c r="F514" s="33" t="n"/>
      <c r="G514" s="33" t="n"/>
      <c r="H514" s="33" t="n"/>
      <c r="I514" s="33" t="n"/>
      <c r="J514" s="33" t="n"/>
      <c r="K514" s="33" t="n"/>
      <c r="L514" s="33" t="n"/>
      <c r="N514" s="34">
        <f>IF($A514="",NA(),IF(C514&gt;0,D514/C514,0))</f>
        <v/>
      </c>
      <c r="O514" s="34">
        <f>IF($A514="",NA(),IF(E514&gt;0,F514/E514,0))</f>
        <v/>
      </c>
      <c r="P514" s="34">
        <f>IF($A514="",NA(),IF(K514+L514&gt;0,K514/(K514+L514),0.5))</f>
        <v/>
      </c>
      <c r="Q514" s="34">
        <f>IF($A514="",NA(),1-P514)</f>
        <v/>
      </c>
      <c r="R514" s="33">
        <f>IF($A514="",NA(),MAX(0,E514-F514)*IF(G514&gt;0,H514/G514,COMPAREC_PAD)*IF(I514&gt;0,J514/I514,VALIDOS_PAD))</f>
        <v/>
      </c>
      <c r="S514" s="34">
        <f>IF($A514="",NA(),IF(R514&gt;0,0.5-(K514-L514)/(2*R514),0))</f>
        <v/>
      </c>
      <c r="T514" s="34">
        <f>IF($A514="",NA(),IF(R514&lt;=0,IF(K514&gt;L514,1,IF(K514&lt;L514,0,0.5)),1-NORMDIST(S514,P514+AJUSTE,SIGMA,TRUE)))</f>
        <v/>
      </c>
      <c r="U514" s="34">
        <f>IF($A514="",NA(),1-T514)</f>
        <v/>
      </c>
    </row>
    <row r="515">
      <c r="C515" s="33" t="n"/>
      <c r="D515" s="33" t="n"/>
      <c r="E515" s="33" t="n"/>
      <c r="F515" s="33" t="n"/>
      <c r="G515" s="33" t="n"/>
      <c r="H515" s="33" t="n"/>
      <c r="I515" s="33" t="n"/>
      <c r="J515" s="33" t="n"/>
      <c r="K515" s="33" t="n"/>
      <c r="L515" s="33" t="n"/>
      <c r="N515" s="34">
        <f>IF($A515="",NA(),IF(C515&gt;0,D515/C515,0))</f>
        <v/>
      </c>
      <c r="O515" s="34">
        <f>IF($A515="",NA(),IF(E515&gt;0,F515/E515,0))</f>
        <v/>
      </c>
      <c r="P515" s="34">
        <f>IF($A515="",NA(),IF(K515+L515&gt;0,K515/(K515+L515),0.5))</f>
        <v/>
      </c>
      <c r="Q515" s="34">
        <f>IF($A515="",NA(),1-P515)</f>
        <v/>
      </c>
      <c r="R515" s="33">
        <f>IF($A515="",NA(),MAX(0,E515-F515)*IF(G515&gt;0,H515/G515,COMPAREC_PAD)*IF(I515&gt;0,J515/I515,VALIDOS_PAD))</f>
        <v/>
      </c>
      <c r="S515" s="34">
        <f>IF($A515="",NA(),IF(R515&gt;0,0.5-(K515-L515)/(2*R515),0))</f>
        <v/>
      </c>
      <c r="T515" s="34">
        <f>IF($A515="",NA(),IF(R515&lt;=0,IF(K515&gt;L515,1,IF(K515&lt;L515,0,0.5)),1-NORMDIST(S515,P515+AJUSTE,SIGMA,TRUE)))</f>
        <v/>
      </c>
      <c r="U515" s="34">
        <f>IF($A515="",NA(),1-T515)</f>
        <v/>
      </c>
    </row>
    <row r="516">
      <c r="C516" s="33" t="n"/>
      <c r="D516" s="33" t="n"/>
      <c r="E516" s="33" t="n"/>
      <c r="F516" s="33" t="n"/>
      <c r="G516" s="33" t="n"/>
      <c r="H516" s="33" t="n"/>
      <c r="I516" s="33" t="n"/>
      <c r="J516" s="33" t="n"/>
      <c r="K516" s="33" t="n"/>
      <c r="L516" s="33" t="n"/>
      <c r="N516" s="34">
        <f>IF($A516="",NA(),IF(C516&gt;0,D516/C516,0))</f>
        <v/>
      </c>
      <c r="O516" s="34">
        <f>IF($A516="",NA(),IF(E516&gt;0,F516/E516,0))</f>
        <v/>
      </c>
      <c r="P516" s="34">
        <f>IF($A516="",NA(),IF(K516+L516&gt;0,K516/(K516+L516),0.5))</f>
        <v/>
      </c>
      <c r="Q516" s="34">
        <f>IF($A516="",NA(),1-P516)</f>
        <v/>
      </c>
      <c r="R516" s="33">
        <f>IF($A516="",NA(),MAX(0,E516-F516)*IF(G516&gt;0,H516/G516,COMPAREC_PAD)*IF(I516&gt;0,J516/I516,VALIDOS_PAD))</f>
        <v/>
      </c>
      <c r="S516" s="34">
        <f>IF($A516="",NA(),IF(R516&gt;0,0.5-(K516-L516)/(2*R516),0))</f>
        <v/>
      </c>
      <c r="T516" s="34">
        <f>IF($A516="",NA(),IF(R516&lt;=0,IF(K516&gt;L516,1,IF(K516&lt;L516,0,0.5)),1-NORMDIST(S516,P516+AJUSTE,SIGMA,TRUE)))</f>
        <v/>
      </c>
      <c r="U516" s="34">
        <f>IF($A516="",NA(),1-T516)</f>
        <v/>
      </c>
    </row>
    <row r="517">
      <c r="C517" s="33" t="n"/>
      <c r="D517" s="33" t="n"/>
      <c r="E517" s="33" t="n"/>
      <c r="F517" s="33" t="n"/>
      <c r="G517" s="33" t="n"/>
      <c r="H517" s="33" t="n"/>
      <c r="I517" s="33" t="n"/>
      <c r="J517" s="33" t="n"/>
      <c r="K517" s="33" t="n"/>
      <c r="L517" s="33" t="n"/>
      <c r="N517" s="34">
        <f>IF($A517="",NA(),IF(C517&gt;0,D517/C517,0))</f>
        <v/>
      </c>
      <c r="O517" s="34">
        <f>IF($A517="",NA(),IF(E517&gt;0,F517/E517,0))</f>
        <v/>
      </c>
      <c r="P517" s="34">
        <f>IF($A517="",NA(),IF(K517+L517&gt;0,K517/(K517+L517),0.5))</f>
        <v/>
      </c>
      <c r="Q517" s="34">
        <f>IF($A517="",NA(),1-P517)</f>
        <v/>
      </c>
      <c r="R517" s="33">
        <f>IF($A517="",NA(),MAX(0,E517-F517)*IF(G517&gt;0,H517/G517,COMPAREC_PAD)*IF(I517&gt;0,J517/I517,VALIDOS_PAD))</f>
        <v/>
      </c>
      <c r="S517" s="34">
        <f>IF($A517="",NA(),IF(R517&gt;0,0.5-(K517-L517)/(2*R517),0))</f>
        <v/>
      </c>
      <c r="T517" s="34">
        <f>IF($A517="",NA(),IF(R517&lt;=0,IF(K517&gt;L517,1,IF(K517&lt;L517,0,0.5)),1-NORMDIST(S517,P517+AJUSTE,SIGMA,TRUE)))</f>
        <v/>
      </c>
      <c r="U517" s="34">
        <f>IF($A517="",NA(),1-T517)</f>
        <v/>
      </c>
    </row>
    <row r="518">
      <c r="C518" s="33" t="n"/>
      <c r="D518" s="33" t="n"/>
      <c r="E518" s="33" t="n"/>
      <c r="F518" s="33" t="n"/>
      <c r="G518" s="33" t="n"/>
      <c r="H518" s="33" t="n"/>
      <c r="I518" s="33" t="n"/>
      <c r="J518" s="33" t="n"/>
      <c r="K518" s="33" t="n"/>
      <c r="L518" s="33" t="n"/>
      <c r="N518" s="34">
        <f>IF($A518="",NA(),IF(C518&gt;0,D518/C518,0))</f>
        <v/>
      </c>
      <c r="O518" s="34">
        <f>IF($A518="",NA(),IF(E518&gt;0,F518/E518,0))</f>
        <v/>
      </c>
      <c r="P518" s="34">
        <f>IF($A518="",NA(),IF(K518+L518&gt;0,K518/(K518+L518),0.5))</f>
        <v/>
      </c>
      <c r="Q518" s="34">
        <f>IF($A518="",NA(),1-P518)</f>
        <v/>
      </c>
      <c r="R518" s="33">
        <f>IF($A518="",NA(),MAX(0,E518-F518)*IF(G518&gt;0,H518/G518,COMPAREC_PAD)*IF(I518&gt;0,J518/I518,VALIDOS_PAD))</f>
        <v/>
      </c>
      <c r="S518" s="34">
        <f>IF($A518="",NA(),IF(R518&gt;0,0.5-(K518-L518)/(2*R518),0))</f>
        <v/>
      </c>
      <c r="T518" s="34">
        <f>IF($A518="",NA(),IF(R518&lt;=0,IF(K518&gt;L518,1,IF(K518&lt;L518,0,0.5)),1-NORMDIST(S518,P518+AJUSTE,SIGMA,TRUE)))</f>
        <v/>
      </c>
      <c r="U518" s="34">
        <f>IF($A518="",NA(),1-T518)</f>
        <v/>
      </c>
    </row>
    <row r="519">
      <c r="C519" s="33" t="n"/>
      <c r="D519" s="33" t="n"/>
      <c r="E519" s="33" t="n"/>
      <c r="F519" s="33" t="n"/>
      <c r="G519" s="33" t="n"/>
      <c r="H519" s="33" t="n"/>
      <c r="I519" s="33" t="n"/>
      <c r="J519" s="33" t="n"/>
      <c r="K519" s="33" t="n"/>
      <c r="L519" s="33" t="n"/>
      <c r="N519" s="34">
        <f>IF($A519="",NA(),IF(C519&gt;0,D519/C519,0))</f>
        <v/>
      </c>
      <c r="O519" s="34">
        <f>IF($A519="",NA(),IF(E519&gt;0,F519/E519,0))</f>
        <v/>
      </c>
      <c r="P519" s="34">
        <f>IF($A519="",NA(),IF(K519+L519&gt;0,K519/(K519+L519),0.5))</f>
        <v/>
      </c>
      <c r="Q519" s="34">
        <f>IF($A519="",NA(),1-P519)</f>
        <v/>
      </c>
      <c r="R519" s="33">
        <f>IF($A519="",NA(),MAX(0,E519-F519)*IF(G519&gt;0,H519/G519,COMPAREC_PAD)*IF(I519&gt;0,J519/I519,VALIDOS_PAD))</f>
        <v/>
      </c>
      <c r="S519" s="34">
        <f>IF($A519="",NA(),IF(R519&gt;0,0.5-(K519-L519)/(2*R519),0))</f>
        <v/>
      </c>
      <c r="T519" s="34">
        <f>IF($A519="",NA(),IF(R519&lt;=0,IF(K519&gt;L519,1,IF(K519&lt;L519,0,0.5)),1-NORMDIST(S519,P519+AJUSTE,SIGMA,TRUE)))</f>
        <v/>
      </c>
      <c r="U519" s="34">
        <f>IF($A519="",NA(),1-T519)</f>
        <v/>
      </c>
    </row>
    <row r="520">
      <c r="C520" s="33" t="n"/>
      <c r="D520" s="33" t="n"/>
      <c r="E520" s="33" t="n"/>
      <c r="F520" s="33" t="n"/>
      <c r="G520" s="33" t="n"/>
      <c r="H520" s="33" t="n"/>
      <c r="I520" s="33" t="n"/>
      <c r="J520" s="33" t="n"/>
      <c r="K520" s="33" t="n"/>
      <c r="L520" s="33" t="n"/>
      <c r="N520" s="34">
        <f>IF($A520="",NA(),IF(C520&gt;0,D520/C520,0))</f>
        <v/>
      </c>
      <c r="O520" s="34">
        <f>IF($A520="",NA(),IF(E520&gt;0,F520/E520,0))</f>
        <v/>
      </c>
      <c r="P520" s="34">
        <f>IF($A520="",NA(),IF(K520+L520&gt;0,K520/(K520+L520),0.5))</f>
        <v/>
      </c>
      <c r="Q520" s="34">
        <f>IF($A520="",NA(),1-P520)</f>
        <v/>
      </c>
      <c r="R520" s="33">
        <f>IF($A520="",NA(),MAX(0,E520-F520)*IF(G520&gt;0,H520/G520,COMPAREC_PAD)*IF(I520&gt;0,J520/I520,VALIDOS_PAD))</f>
        <v/>
      </c>
      <c r="S520" s="34">
        <f>IF($A520="",NA(),IF(R520&gt;0,0.5-(K520-L520)/(2*R520),0))</f>
        <v/>
      </c>
      <c r="T520" s="34">
        <f>IF($A520="",NA(),IF(R520&lt;=0,IF(K520&gt;L520,1,IF(K520&lt;L520,0,0.5)),1-NORMDIST(S520,P520+AJUSTE,SIGMA,TRUE)))</f>
        <v/>
      </c>
      <c r="U520" s="34">
        <f>IF($A520="",NA(),1-T520)</f>
        <v/>
      </c>
    </row>
    <row r="521">
      <c r="C521" s="33" t="n"/>
      <c r="D521" s="33" t="n"/>
      <c r="E521" s="33" t="n"/>
      <c r="F521" s="33" t="n"/>
      <c r="G521" s="33" t="n"/>
      <c r="H521" s="33" t="n"/>
      <c r="I521" s="33" t="n"/>
      <c r="J521" s="33" t="n"/>
      <c r="K521" s="33" t="n"/>
      <c r="L521" s="33" t="n"/>
      <c r="N521" s="34">
        <f>IF($A521="",NA(),IF(C521&gt;0,D521/C521,0))</f>
        <v/>
      </c>
      <c r="O521" s="34">
        <f>IF($A521="",NA(),IF(E521&gt;0,F521/E521,0))</f>
        <v/>
      </c>
      <c r="P521" s="34">
        <f>IF($A521="",NA(),IF(K521+L521&gt;0,K521/(K521+L521),0.5))</f>
        <v/>
      </c>
      <c r="Q521" s="34">
        <f>IF($A521="",NA(),1-P521)</f>
        <v/>
      </c>
      <c r="R521" s="33">
        <f>IF($A521="",NA(),MAX(0,E521-F521)*IF(G521&gt;0,H521/G521,COMPAREC_PAD)*IF(I521&gt;0,J521/I521,VALIDOS_PAD))</f>
        <v/>
      </c>
      <c r="S521" s="34">
        <f>IF($A521="",NA(),IF(R521&gt;0,0.5-(K521-L521)/(2*R521),0))</f>
        <v/>
      </c>
      <c r="T521" s="34">
        <f>IF($A521="",NA(),IF(R521&lt;=0,IF(K521&gt;L521,1,IF(K521&lt;L521,0,0.5)),1-NORMDIST(S521,P521+AJUSTE,SIGMA,TRUE)))</f>
        <v/>
      </c>
      <c r="U521" s="34">
        <f>IF($A521="",NA(),1-T521)</f>
        <v/>
      </c>
    </row>
    <row r="522">
      <c r="C522" s="33" t="n"/>
      <c r="D522" s="33" t="n"/>
      <c r="E522" s="33" t="n"/>
      <c r="F522" s="33" t="n"/>
      <c r="G522" s="33" t="n"/>
      <c r="H522" s="33" t="n"/>
      <c r="I522" s="33" t="n"/>
      <c r="J522" s="33" t="n"/>
      <c r="K522" s="33" t="n"/>
      <c r="L522" s="33" t="n"/>
      <c r="N522" s="34">
        <f>IF($A522="",NA(),IF(C522&gt;0,D522/C522,0))</f>
        <v/>
      </c>
      <c r="O522" s="34">
        <f>IF($A522="",NA(),IF(E522&gt;0,F522/E522,0))</f>
        <v/>
      </c>
      <c r="P522" s="34">
        <f>IF($A522="",NA(),IF(K522+L522&gt;0,K522/(K522+L522),0.5))</f>
        <v/>
      </c>
      <c r="Q522" s="34">
        <f>IF($A522="",NA(),1-P522)</f>
        <v/>
      </c>
      <c r="R522" s="33">
        <f>IF($A522="",NA(),MAX(0,E522-F522)*IF(G522&gt;0,H522/G522,COMPAREC_PAD)*IF(I522&gt;0,J522/I522,VALIDOS_PAD))</f>
        <v/>
      </c>
      <c r="S522" s="34">
        <f>IF($A522="",NA(),IF(R522&gt;0,0.5-(K522-L522)/(2*R522),0))</f>
        <v/>
      </c>
      <c r="T522" s="34">
        <f>IF($A522="",NA(),IF(R522&lt;=0,IF(K522&gt;L522,1,IF(K522&lt;L522,0,0.5)),1-NORMDIST(S522,P522+AJUSTE,SIGMA,TRUE)))</f>
        <v/>
      </c>
      <c r="U522" s="34">
        <f>IF($A522="",NA(),1-T522)</f>
        <v/>
      </c>
    </row>
    <row r="523">
      <c r="C523" s="33" t="n"/>
      <c r="D523" s="33" t="n"/>
      <c r="E523" s="33" t="n"/>
      <c r="F523" s="33" t="n"/>
      <c r="G523" s="33" t="n"/>
      <c r="H523" s="33" t="n"/>
      <c r="I523" s="33" t="n"/>
      <c r="J523" s="33" t="n"/>
      <c r="K523" s="33" t="n"/>
      <c r="L523" s="33" t="n"/>
      <c r="N523" s="34">
        <f>IF($A523="",NA(),IF(C523&gt;0,D523/C523,0))</f>
        <v/>
      </c>
      <c r="O523" s="34">
        <f>IF($A523="",NA(),IF(E523&gt;0,F523/E523,0))</f>
        <v/>
      </c>
      <c r="P523" s="34">
        <f>IF($A523="",NA(),IF(K523+L523&gt;0,K523/(K523+L523),0.5))</f>
        <v/>
      </c>
      <c r="Q523" s="34">
        <f>IF($A523="",NA(),1-P523)</f>
        <v/>
      </c>
      <c r="R523" s="33">
        <f>IF($A523="",NA(),MAX(0,E523-F523)*IF(G523&gt;0,H523/G523,COMPAREC_PAD)*IF(I523&gt;0,J523/I523,VALIDOS_PAD))</f>
        <v/>
      </c>
      <c r="S523" s="34">
        <f>IF($A523="",NA(),IF(R523&gt;0,0.5-(K523-L523)/(2*R523),0))</f>
        <v/>
      </c>
      <c r="T523" s="34">
        <f>IF($A523="",NA(),IF(R523&lt;=0,IF(K523&gt;L523,1,IF(K523&lt;L523,0,0.5)),1-NORMDIST(S523,P523+AJUSTE,SIGMA,TRUE)))</f>
        <v/>
      </c>
      <c r="U523" s="34">
        <f>IF($A523="",NA(),1-T523)</f>
        <v/>
      </c>
    </row>
    <row r="524">
      <c r="C524" s="33" t="n"/>
      <c r="D524" s="33" t="n"/>
      <c r="E524" s="33" t="n"/>
      <c r="F524" s="33" t="n"/>
      <c r="G524" s="33" t="n"/>
      <c r="H524" s="33" t="n"/>
      <c r="I524" s="33" t="n"/>
      <c r="J524" s="33" t="n"/>
      <c r="K524" s="33" t="n"/>
      <c r="L524" s="33" t="n"/>
      <c r="N524" s="34">
        <f>IF($A524="",NA(),IF(C524&gt;0,D524/C524,0))</f>
        <v/>
      </c>
      <c r="O524" s="34">
        <f>IF($A524="",NA(),IF(E524&gt;0,F524/E524,0))</f>
        <v/>
      </c>
      <c r="P524" s="34">
        <f>IF($A524="",NA(),IF(K524+L524&gt;0,K524/(K524+L524),0.5))</f>
        <v/>
      </c>
      <c r="Q524" s="34">
        <f>IF($A524="",NA(),1-P524)</f>
        <v/>
      </c>
      <c r="R524" s="33">
        <f>IF($A524="",NA(),MAX(0,E524-F524)*IF(G524&gt;0,H524/G524,COMPAREC_PAD)*IF(I524&gt;0,J524/I524,VALIDOS_PAD))</f>
        <v/>
      </c>
      <c r="S524" s="34">
        <f>IF($A524="",NA(),IF(R524&gt;0,0.5-(K524-L524)/(2*R524),0))</f>
        <v/>
      </c>
      <c r="T524" s="34">
        <f>IF($A524="",NA(),IF(R524&lt;=0,IF(K524&gt;L524,1,IF(K524&lt;L524,0,0.5)),1-NORMDIST(S524,P524+AJUSTE,SIGMA,TRUE)))</f>
        <v/>
      </c>
      <c r="U524" s="34">
        <f>IF($A524="",NA(),1-T524)</f>
        <v/>
      </c>
    </row>
    <row r="525">
      <c r="C525" s="33" t="n"/>
      <c r="D525" s="33" t="n"/>
      <c r="E525" s="33" t="n"/>
      <c r="F525" s="33" t="n"/>
      <c r="G525" s="33" t="n"/>
      <c r="H525" s="33" t="n"/>
      <c r="I525" s="33" t="n"/>
      <c r="J525" s="33" t="n"/>
      <c r="K525" s="33" t="n"/>
      <c r="L525" s="33" t="n"/>
      <c r="N525" s="34">
        <f>IF($A525="",NA(),IF(C525&gt;0,D525/C525,0))</f>
        <v/>
      </c>
      <c r="O525" s="34">
        <f>IF($A525="",NA(),IF(E525&gt;0,F525/E525,0))</f>
        <v/>
      </c>
      <c r="P525" s="34">
        <f>IF($A525="",NA(),IF(K525+L525&gt;0,K525/(K525+L525),0.5))</f>
        <v/>
      </c>
      <c r="Q525" s="34">
        <f>IF($A525="",NA(),1-P525)</f>
        <v/>
      </c>
      <c r="R525" s="33">
        <f>IF($A525="",NA(),MAX(0,E525-F525)*IF(G525&gt;0,H525/G525,COMPAREC_PAD)*IF(I525&gt;0,J525/I525,VALIDOS_PAD))</f>
        <v/>
      </c>
      <c r="S525" s="34">
        <f>IF($A525="",NA(),IF(R525&gt;0,0.5-(K525-L525)/(2*R525),0))</f>
        <v/>
      </c>
      <c r="T525" s="34">
        <f>IF($A525="",NA(),IF(R525&lt;=0,IF(K525&gt;L525,1,IF(K525&lt;L525,0,0.5)),1-NORMDIST(S525,P525+AJUSTE,SIGMA,TRUE)))</f>
        <v/>
      </c>
      <c r="U525" s="34">
        <f>IF($A525="",NA(),1-T525)</f>
        <v/>
      </c>
    </row>
    <row r="526">
      <c r="C526" s="33" t="n"/>
      <c r="D526" s="33" t="n"/>
      <c r="E526" s="33" t="n"/>
      <c r="F526" s="33" t="n"/>
      <c r="G526" s="33" t="n"/>
      <c r="H526" s="33" t="n"/>
      <c r="I526" s="33" t="n"/>
      <c r="J526" s="33" t="n"/>
      <c r="K526" s="33" t="n"/>
      <c r="L526" s="33" t="n"/>
      <c r="N526" s="34">
        <f>IF($A526="",NA(),IF(C526&gt;0,D526/C526,0))</f>
        <v/>
      </c>
      <c r="O526" s="34">
        <f>IF($A526="",NA(),IF(E526&gt;0,F526/E526,0))</f>
        <v/>
      </c>
      <c r="P526" s="34">
        <f>IF($A526="",NA(),IF(K526+L526&gt;0,K526/(K526+L526),0.5))</f>
        <v/>
      </c>
      <c r="Q526" s="34">
        <f>IF($A526="",NA(),1-P526)</f>
        <v/>
      </c>
      <c r="R526" s="33">
        <f>IF($A526="",NA(),MAX(0,E526-F526)*IF(G526&gt;0,H526/G526,COMPAREC_PAD)*IF(I526&gt;0,J526/I526,VALIDOS_PAD))</f>
        <v/>
      </c>
      <c r="S526" s="34">
        <f>IF($A526="",NA(),IF(R526&gt;0,0.5-(K526-L526)/(2*R526),0))</f>
        <v/>
      </c>
      <c r="T526" s="34">
        <f>IF($A526="",NA(),IF(R526&lt;=0,IF(K526&gt;L526,1,IF(K526&lt;L526,0,0.5)),1-NORMDIST(S526,P526+AJUSTE,SIGMA,TRUE)))</f>
        <v/>
      </c>
      <c r="U526" s="34">
        <f>IF($A526="",NA(),1-T526)</f>
        <v/>
      </c>
    </row>
    <row r="527">
      <c r="C527" s="33" t="n"/>
      <c r="D527" s="33" t="n"/>
      <c r="E527" s="33" t="n"/>
      <c r="F527" s="33" t="n"/>
      <c r="G527" s="33" t="n"/>
      <c r="H527" s="33" t="n"/>
      <c r="I527" s="33" t="n"/>
      <c r="J527" s="33" t="n"/>
      <c r="K527" s="33" t="n"/>
      <c r="L527" s="33" t="n"/>
      <c r="N527" s="34">
        <f>IF($A527="",NA(),IF(C527&gt;0,D527/C527,0))</f>
        <v/>
      </c>
      <c r="O527" s="34">
        <f>IF($A527="",NA(),IF(E527&gt;0,F527/E527,0))</f>
        <v/>
      </c>
      <c r="P527" s="34">
        <f>IF($A527="",NA(),IF(K527+L527&gt;0,K527/(K527+L527),0.5))</f>
        <v/>
      </c>
      <c r="Q527" s="34">
        <f>IF($A527="",NA(),1-P527)</f>
        <v/>
      </c>
      <c r="R527" s="33">
        <f>IF($A527="",NA(),MAX(0,E527-F527)*IF(G527&gt;0,H527/G527,COMPAREC_PAD)*IF(I527&gt;0,J527/I527,VALIDOS_PAD))</f>
        <v/>
      </c>
      <c r="S527" s="34">
        <f>IF($A527="",NA(),IF(R527&gt;0,0.5-(K527-L527)/(2*R527),0))</f>
        <v/>
      </c>
      <c r="T527" s="34">
        <f>IF($A527="",NA(),IF(R527&lt;=0,IF(K527&gt;L527,1,IF(K527&lt;L527,0,0.5)),1-NORMDIST(S527,P527+AJUSTE,SIGMA,TRUE)))</f>
        <v/>
      </c>
      <c r="U527" s="34">
        <f>IF($A527="",NA(),1-T527)</f>
        <v/>
      </c>
    </row>
    <row r="528">
      <c r="C528" s="33" t="n"/>
      <c r="D528" s="33" t="n"/>
      <c r="E528" s="33" t="n"/>
      <c r="F528" s="33" t="n"/>
      <c r="G528" s="33" t="n"/>
      <c r="H528" s="33" t="n"/>
      <c r="I528" s="33" t="n"/>
      <c r="J528" s="33" t="n"/>
      <c r="K528" s="33" t="n"/>
      <c r="L528" s="33" t="n"/>
      <c r="N528" s="34">
        <f>IF($A528="",NA(),IF(C528&gt;0,D528/C528,0))</f>
        <v/>
      </c>
      <c r="O528" s="34">
        <f>IF($A528="",NA(),IF(E528&gt;0,F528/E528,0))</f>
        <v/>
      </c>
      <c r="P528" s="34">
        <f>IF($A528="",NA(),IF(K528+L528&gt;0,K528/(K528+L528),0.5))</f>
        <v/>
      </c>
      <c r="Q528" s="34">
        <f>IF($A528="",NA(),1-P528)</f>
        <v/>
      </c>
      <c r="R528" s="33">
        <f>IF($A528="",NA(),MAX(0,E528-F528)*IF(G528&gt;0,H528/G528,COMPAREC_PAD)*IF(I528&gt;0,J528/I528,VALIDOS_PAD))</f>
        <v/>
      </c>
      <c r="S528" s="34">
        <f>IF($A528="",NA(),IF(R528&gt;0,0.5-(K528-L528)/(2*R528),0))</f>
        <v/>
      </c>
      <c r="T528" s="34">
        <f>IF($A528="",NA(),IF(R528&lt;=0,IF(K528&gt;L528,1,IF(K528&lt;L528,0,0.5)),1-NORMDIST(S528,P528+AJUSTE,SIGMA,TRUE)))</f>
        <v/>
      </c>
      <c r="U528" s="34">
        <f>IF($A528="",NA(),1-T528)</f>
        <v/>
      </c>
    </row>
    <row r="529">
      <c r="C529" s="33" t="n"/>
      <c r="D529" s="33" t="n"/>
      <c r="E529" s="33" t="n"/>
      <c r="F529" s="33" t="n"/>
      <c r="G529" s="33" t="n"/>
      <c r="H529" s="33" t="n"/>
      <c r="I529" s="33" t="n"/>
      <c r="J529" s="33" t="n"/>
      <c r="K529" s="33" t="n"/>
      <c r="L529" s="33" t="n"/>
      <c r="N529" s="34">
        <f>IF($A529="",NA(),IF(C529&gt;0,D529/C529,0))</f>
        <v/>
      </c>
      <c r="O529" s="34">
        <f>IF($A529="",NA(),IF(E529&gt;0,F529/E529,0))</f>
        <v/>
      </c>
      <c r="P529" s="34">
        <f>IF($A529="",NA(),IF(K529+L529&gt;0,K529/(K529+L529),0.5))</f>
        <v/>
      </c>
      <c r="Q529" s="34">
        <f>IF($A529="",NA(),1-P529)</f>
        <v/>
      </c>
      <c r="R529" s="33">
        <f>IF($A529="",NA(),MAX(0,E529-F529)*IF(G529&gt;0,H529/G529,COMPAREC_PAD)*IF(I529&gt;0,J529/I529,VALIDOS_PAD))</f>
        <v/>
      </c>
      <c r="S529" s="34">
        <f>IF($A529="",NA(),IF(R529&gt;0,0.5-(K529-L529)/(2*R529),0))</f>
        <v/>
      </c>
      <c r="T529" s="34">
        <f>IF($A529="",NA(),IF(R529&lt;=0,IF(K529&gt;L529,1,IF(K529&lt;L529,0,0.5)),1-NORMDIST(S529,P529+AJUSTE,SIGMA,TRUE)))</f>
        <v/>
      </c>
      <c r="U529" s="34">
        <f>IF($A529="",NA(),1-T529)</f>
        <v/>
      </c>
    </row>
    <row r="530">
      <c r="C530" s="33" t="n"/>
      <c r="D530" s="33" t="n"/>
      <c r="E530" s="33" t="n"/>
      <c r="F530" s="33" t="n"/>
      <c r="G530" s="33" t="n"/>
      <c r="H530" s="33" t="n"/>
      <c r="I530" s="33" t="n"/>
      <c r="J530" s="33" t="n"/>
      <c r="K530" s="33" t="n"/>
      <c r="L530" s="33" t="n"/>
      <c r="N530" s="34">
        <f>IF($A530="",NA(),IF(C530&gt;0,D530/C530,0))</f>
        <v/>
      </c>
      <c r="O530" s="34">
        <f>IF($A530="",NA(),IF(E530&gt;0,F530/E530,0))</f>
        <v/>
      </c>
      <c r="P530" s="34">
        <f>IF($A530="",NA(),IF(K530+L530&gt;0,K530/(K530+L530),0.5))</f>
        <v/>
      </c>
      <c r="Q530" s="34">
        <f>IF($A530="",NA(),1-P530)</f>
        <v/>
      </c>
      <c r="R530" s="33">
        <f>IF($A530="",NA(),MAX(0,E530-F530)*IF(G530&gt;0,H530/G530,COMPAREC_PAD)*IF(I530&gt;0,J530/I530,VALIDOS_PAD))</f>
        <v/>
      </c>
      <c r="S530" s="34">
        <f>IF($A530="",NA(),IF(R530&gt;0,0.5-(K530-L530)/(2*R530),0))</f>
        <v/>
      </c>
      <c r="T530" s="34">
        <f>IF($A530="",NA(),IF(R530&lt;=0,IF(K530&gt;L530,1,IF(K530&lt;L530,0,0.5)),1-NORMDIST(S530,P530+AJUSTE,SIGMA,TRUE)))</f>
        <v/>
      </c>
      <c r="U530" s="34">
        <f>IF($A530="",NA(),1-T530)</f>
        <v/>
      </c>
    </row>
    <row r="531">
      <c r="C531" s="33" t="n"/>
      <c r="D531" s="33" t="n"/>
      <c r="E531" s="33" t="n"/>
      <c r="F531" s="33" t="n"/>
      <c r="G531" s="33" t="n"/>
      <c r="H531" s="33" t="n"/>
      <c r="I531" s="33" t="n"/>
      <c r="J531" s="33" t="n"/>
      <c r="K531" s="33" t="n"/>
      <c r="L531" s="33" t="n"/>
      <c r="N531" s="34">
        <f>IF($A531="",NA(),IF(C531&gt;0,D531/C531,0))</f>
        <v/>
      </c>
      <c r="O531" s="34">
        <f>IF($A531="",NA(),IF(E531&gt;0,F531/E531,0))</f>
        <v/>
      </c>
      <c r="P531" s="34">
        <f>IF($A531="",NA(),IF(K531+L531&gt;0,K531/(K531+L531),0.5))</f>
        <v/>
      </c>
      <c r="Q531" s="34">
        <f>IF($A531="",NA(),1-P531)</f>
        <v/>
      </c>
      <c r="R531" s="33">
        <f>IF($A531="",NA(),MAX(0,E531-F531)*IF(G531&gt;0,H531/G531,COMPAREC_PAD)*IF(I531&gt;0,J531/I531,VALIDOS_PAD))</f>
        <v/>
      </c>
      <c r="S531" s="34">
        <f>IF($A531="",NA(),IF(R531&gt;0,0.5-(K531-L531)/(2*R531),0))</f>
        <v/>
      </c>
      <c r="T531" s="34">
        <f>IF($A531="",NA(),IF(R531&lt;=0,IF(K531&gt;L531,1,IF(K531&lt;L531,0,0.5)),1-NORMDIST(S531,P531+AJUSTE,SIGMA,TRUE)))</f>
        <v/>
      </c>
      <c r="U531" s="34">
        <f>IF($A531="",NA(),1-T531)</f>
        <v/>
      </c>
    </row>
    <row r="532">
      <c r="C532" s="33" t="n"/>
      <c r="D532" s="33" t="n"/>
      <c r="E532" s="33" t="n"/>
      <c r="F532" s="33" t="n"/>
      <c r="G532" s="33" t="n"/>
      <c r="H532" s="33" t="n"/>
      <c r="I532" s="33" t="n"/>
      <c r="J532" s="33" t="n"/>
      <c r="K532" s="33" t="n"/>
      <c r="L532" s="33" t="n"/>
      <c r="N532" s="34">
        <f>IF($A532="",NA(),IF(C532&gt;0,D532/C532,0))</f>
        <v/>
      </c>
      <c r="O532" s="34">
        <f>IF($A532="",NA(),IF(E532&gt;0,F532/E532,0))</f>
        <v/>
      </c>
      <c r="P532" s="34">
        <f>IF($A532="",NA(),IF(K532+L532&gt;0,K532/(K532+L532),0.5))</f>
        <v/>
      </c>
      <c r="Q532" s="34">
        <f>IF($A532="",NA(),1-P532)</f>
        <v/>
      </c>
      <c r="R532" s="33">
        <f>IF($A532="",NA(),MAX(0,E532-F532)*IF(G532&gt;0,H532/G532,COMPAREC_PAD)*IF(I532&gt;0,J532/I532,VALIDOS_PAD))</f>
        <v/>
      </c>
      <c r="S532" s="34">
        <f>IF($A532="",NA(),IF(R532&gt;0,0.5-(K532-L532)/(2*R532),0))</f>
        <v/>
      </c>
      <c r="T532" s="34">
        <f>IF($A532="",NA(),IF(R532&lt;=0,IF(K532&gt;L532,1,IF(K532&lt;L532,0,0.5)),1-NORMDIST(S532,P532+AJUSTE,SIGMA,TRUE)))</f>
        <v/>
      </c>
      <c r="U532" s="34">
        <f>IF($A532="",NA(),1-T532)</f>
        <v/>
      </c>
    </row>
    <row r="533">
      <c r="C533" s="33" t="n"/>
      <c r="D533" s="33" t="n"/>
      <c r="E533" s="33" t="n"/>
      <c r="F533" s="33" t="n"/>
      <c r="G533" s="33" t="n"/>
      <c r="H533" s="33" t="n"/>
      <c r="I533" s="33" t="n"/>
      <c r="J533" s="33" t="n"/>
      <c r="K533" s="33" t="n"/>
      <c r="L533" s="33" t="n"/>
      <c r="N533" s="34">
        <f>IF($A533="",NA(),IF(C533&gt;0,D533/C533,0))</f>
        <v/>
      </c>
      <c r="O533" s="34">
        <f>IF($A533="",NA(),IF(E533&gt;0,F533/E533,0))</f>
        <v/>
      </c>
      <c r="P533" s="34">
        <f>IF($A533="",NA(),IF(K533+L533&gt;0,K533/(K533+L533),0.5))</f>
        <v/>
      </c>
      <c r="Q533" s="34">
        <f>IF($A533="",NA(),1-P533)</f>
        <v/>
      </c>
      <c r="R533" s="33">
        <f>IF($A533="",NA(),MAX(0,E533-F533)*IF(G533&gt;0,H533/G533,COMPAREC_PAD)*IF(I533&gt;0,J533/I533,VALIDOS_PAD))</f>
        <v/>
      </c>
      <c r="S533" s="34">
        <f>IF($A533="",NA(),IF(R533&gt;0,0.5-(K533-L533)/(2*R533),0))</f>
        <v/>
      </c>
      <c r="T533" s="34">
        <f>IF($A533="",NA(),IF(R533&lt;=0,IF(K533&gt;L533,1,IF(K533&lt;L533,0,0.5)),1-NORMDIST(S533,P533+AJUSTE,SIGMA,TRUE)))</f>
        <v/>
      </c>
      <c r="U533" s="34">
        <f>IF($A533="",NA(),1-T533)</f>
        <v/>
      </c>
    </row>
    <row r="534"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n"/>
      <c r="L534" s="33" t="n"/>
      <c r="N534" s="34">
        <f>IF($A534="",NA(),IF(C534&gt;0,D534/C534,0))</f>
        <v/>
      </c>
      <c r="O534" s="34">
        <f>IF($A534="",NA(),IF(E534&gt;0,F534/E534,0))</f>
        <v/>
      </c>
      <c r="P534" s="34">
        <f>IF($A534="",NA(),IF(K534+L534&gt;0,K534/(K534+L534),0.5))</f>
        <v/>
      </c>
      <c r="Q534" s="34">
        <f>IF($A534="",NA(),1-P534)</f>
        <v/>
      </c>
      <c r="R534" s="33">
        <f>IF($A534="",NA(),MAX(0,E534-F534)*IF(G534&gt;0,H534/G534,COMPAREC_PAD)*IF(I534&gt;0,J534/I534,VALIDOS_PAD))</f>
        <v/>
      </c>
      <c r="S534" s="34">
        <f>IF($A534="",NA(),IF(R534&gt;0,0.5-(K534-L534)/(2*R534),0))</f>
        <v/>
      </c>
      <c r="T534" s="34">
        <f>IF($A534="",NA(),IF(R534&lt;=0,IF(K534&gt;L534,1,IF(K534&lt;L534,0,0.5)),1-NORMDIST(S534,P534+AJUSTE,SIGMA,TRUE)))</f>
        <v/>
      </c>
      <c r="U534" s="34">
        <f>IF($A534="",NA(),1-T534)</f>
        <v/>
      </c>
    </row>
    <row r="535">
      <c r="C535" s="33" t="n"/>
      <c r="D535" s="33" t="n"/>
      <c r="E535" s="33" t="n"/>
      <c r="F535" s="33" t="n"/>
      <c r="G535" s="33" t="n"/>
      <c r="H535" s="33" t="n"/>
      <c r="I535" s="33" t="n"/>
      <c r="J535" s="33" t="n"/>
      <c r="K535" s="33" t="n"/>
      <c r="L535" s="33" t="n"/>
      <c r="N535" s="34">
        <f>IF($A535="",NA(),IF(C535&gt;0,D535/C535,0))</f>
        <v/>
      </c>
      <c r="O535" s="34">
        <f>IF($A535="",NA(),IF(E535&gt;0,F535/E535,0))</f>
        <v/>
      </c>
      <c r="P535" s="34">
        <f>IF($A535="",NA(),IF(K535+L535&gt;0,K535/(K535+L535),0.5))</f>
        <v/>
      </c>
      <c r="Q535" s="34">
        <f>IF($A535="",NA(),1-P535)</f>
        <v/>
      </c>
      <c r="R535" s="33">
        <f>IF($A535="",NA(),MAX(0,E535-F535)*IF(G535&gt;0,H535/G535,COMPAREC_PAD)*IF(I535&gt;0,J535/I535,VALIDOS_PAD))</f>
        <v/>
      </c>
      <c r="S535" s="34">
        <f>IF($A535="",NA(),IF(R535&gt;0,0.5-(K535-L535)/(2*R535),0))</f>
        <v/>
      </c>
      <c r="T535" s="34">
        <f>IF($A535="",NA(),IF(R535&lt;=0,IF(K535&gt;L535,1,IF(K535&lt;L535,0,0.5)),1-NORMDIST(S535,P535+AJUSTE,SIGMA,TRUE)))</f>
        <v/>
      </c>
      <c r="U535" s="34">
        <f>IF($A535="",NA(),1-T535)</f>
        <v/>
      </c>
    </row>
    <row r="536">
      <c r="C536" s="33" t="n"/>
      <c r="D536" s="33" t="n"/>
      <c r="E536" s="33" t="n"/>
      <c r="F536" s="33" t="n"/>
      <c r="G536" s="33" t="n"/>
      <c r="H536" s="33" t="n"/>
      <c r="I536" s="33" t="n"/>
      <c r="J536" s="33" t="n"/>
      <c r="K536" s="33" t="n"/>
      <c r="L536" s="33" t="n"/>
      <c r="N536" s="34">
        <f>IF($A536="",NA(),IF(C536&gt;0,D536/C536,0))</f>
        <v/>
      </c>
      <c r="O536" s="34">
        <f>IF($A536="",NA(),IF(E536&gt;0,F536/E536,0))</f>
        <v/>
      </c>
      <c r="P536" s="34">
        <f>IF($A536="",NA(),IF(K536+L536&gt;0,K536/(K536+L536),0.5))</f>
        <v/>
      </c>
      <c r="Q536" s="34">
        <f>IF($A536="",NA(),1-P536)</f>
        <v/>
      </c>
      <c r="R536" s="33">
        <f>IF($A536="",NA(),MAX(0,E536-F536)*IF(G536&gt;0,H536/G536,COMPAREC_PAD)*IF(I536&gt;0,J536/I536,VALIDOS_PAD))</f>
        <v/>
      </c>
      <c r="S536" s="34">
        <f>IF($A536="",NA(),IF(R536&gt;0,0.5-(K536-L536)/(2*R536),0))</f>
        <v/>
      </c>
      <c r="T536" s="34">
        <f>IF($A536="",NA(),IF(R536&lt;=0,IF(K536&gt;L536,1,IF(K536&lt;L536,0,0.5)),1-NORMDIST(S536,P536+AJUSTE,SIGMA,TRUE)))</f>
        <v/>
      </c>
      <c r="U536" s="34">
        <f>IF($A536="",NA(),1-T536)</f>
        <v/>
      </c>
    </row>
    <row r="537">
      <c r="C537" s="33" t="n"/>
      <c r="D537" s="33" t="n"/>
      <c r="E537" s="33" t="n"/>
      <c r="F537" s="33" t="n"/>
      <c r="G537" s="33" t="n"/>
      <c r="H537" s="33" t="n"/>
      <c r="I537" s="33" t="n"/>
      <c r="J537" s="33" t="n"/>
      <c r="K537" s="33" t="n"/>
      <c r="L537" s="33" t="n"/>
      <c r="N537" s="34">
        <f>IF($A537="",NA(),IF(C537&gt;0,D537/C537,0))</f>
        <v/>
      </c>
      <c r="O537" s="34">
        <f>IF($A537="",NA(),IF(E537&gt;0,F537/E537,0))</f>
        <v/>
      </c>
      <c r="P537" s="34">
        <f>IF($A537="",NA(),IF(K537+L537&gt;0,K537/(K537+L537),0.5))</f>
        <v/>
      </c>
      <c r="Q537" s="34">
        <f>IF($A537="",NA(),1-P537)</f>
        <v/>
      </c>
      <c r="R537" s="33">
        <f>IF($A537="",NA(),MAX(0,E537-F537)*IF(G537&gt;0,H537/G537,COMPAREC_PAD)*IF(I537&gt;0,J537/I537,VALIDOS_PAD))</f>
        <v/>
      </c>
      <c r="S537" s="34">
        <f>IF($A537="",NA(),IF(R537&gt;0,0.5-(K537-L537)/(2*R537),0))</f>
        <v/>
      </c>
      <c r="T537" s="34">
        <f>IF($A537="",NA(),IF(R537&lt;=0,IF(K537&gt;L537,1,IF(K537&lt;L537,0,0.5)),1-NORMDIST(S537,P537+AJUSTE,SIGMA,TRUE)))</f>
        <v/>
      </c>
      <c r="U537" s="34">
        <f>IF($A537="",NA(),1-T537)</f>
        <v/>
      </c>
    </row>
    <row r="538">
      <c r="C538" s="33" t="n"/>
      <c r="D538" s="33" t="n"/>
      <c r="E538" s="33" t="n"/>
      <c r="F538" s="33" t="n"/>
      <c r="G538" s="33" t="n"/>
      <c r="H538" s="33" t="n"/>
      <c r="I538" s="33" t="n"/>
      <c r="J538" s="33" t="n"/>
      <c r="K538" s="33" t="n"/>
      <c r="L538" s="33" t="n"/>
      <c r="N538" s="34">
        <f>IF($A538="",NA(),IF(C538&gt;0,D538/C538,0))</f>
        <v/>
      </c>
      <c r="O538" s="34">
        <f>IF($A538="",NA(),IF(E538&gt;0,F538/E538,0))</f>
        <v/>
      </c>
      <c r="P538" s="34">
        <f>IF($A538="",NA(),IF(K538+L538&gt;0,K538/(K538+L538),0.5))</f>
        <v/>
      </c>
      <c r="Q538" s="34">
        <f>IF($A538="",NA(),1-P538)</f>
        <v/>
      </c>
      <c r="R538" s="33">
        <f>IF($A538="",NA(),MAX(0,E538-F538)*IF(G538&gt;0,H538/G538,COMPAREC_PAD)*IF(I538&gt;0,J538/I538,VALIDOS_PAD))</f>
        <v/>
      </c>
      <c r="S538" s="34">
        <f>IF($A538="",NA(),IF(R538&gt;0,0.5-(K538-L538)/(2*R538),0))</f>
        <v/>
      </c>
      <c r="T538" s="34">
        <f>IF($A538="",NA(),IF(R538&lt;=0,IF(K538&gt;L538,1,IF(K538&lt;L538,0,0.5)),1-NORMDIST(S538,P538+AJUSTE,SIGMA,TRUE)))</f>
        <v/>
      </c>
      <c r="U538" s="34">
        <f>IF($A538="",NA(),1-T538)</f>
        <v/>
      </c>
    </row>
    <row r="539">
      <c r="C539" s="33" t="n"/>
      <c r="D539" s="33" t="n"/>
      <c r="E539" s="33" t="n"/>
      <c r="F539" s="33" t="n"/>
      <c r="G539" s="33" t="n"/>
      <c r="H539" s="33" t="n"/>
      <c r="I539" s="33" t="n"/>
      <c r="J539" s="33" t="n"/>
      <c r="K539" s="33" t="n"/>
      <c r="L539" s="33" t="n"/>
      <c r="N539" s="34">
        <f>IF($A539="",NA(),IF(C539&gt;0,D539/C539,0))</f>
        <v/>
      </c>
      <c r="O539" s="34">
        <f>IF($A539="",NA(),IF(E539&gt;0,F539/E539,0))</f>
        <v/>
      </c>
      <c r="P539" s="34">
        <f>IF($A539="",NA(),IF(K539+L539&gt;0,K539/(K539+L539),0.5))</f>
        <v/>
      </c>
      <c r="Q539" s="34">
        <f>IF($A539="",NA(),1-P539)</f>
        <v/>
      </c>
      <c r="R539" s="33">
        <f>IF($A539="",NA(),MAX(0,E539-F539)*IF(G539&gt;0,H539/G539,COMPAREC_PAD)*IF(I539&gt;0,J539/I539,VALIDOS_PAD))</f>
        <v/>
      </c>
      <c r="S539" s="34">
        <f>IF($A539="",NA(),IF(R539&gt;0,0.5-(K539-L539)/(2*R539),0))</f>
        <v/>
      </c>
      <c r="T539" s="34">
        <f>IF($A539="",NA(),IF(R539&lt;=0,IF(K539&gt;L539,1,IF(K539&lt;L539,0,0.5)),1-NORMDIST(S539,P539+AJUSTE,SIGMA,TRUE)))</f>
        <v/>
      </c>
      <c r="U539" s="34">
        <f>IF($A539="",NA(),1-T539)</f>
        <v/>
      </c>
    </row>
    <row r="540">
      <c r="C540" s="33" t="n"/>
      <c r="D540" s="33" t="n"/>
      <c r="E540" s="33" t="n"/>
      <c r="F540" s="33" t="n"/>
      <c r="G540" s="33" t="n"/>
      <c r="H540" s="33" t="n"/>
      <c r="I540" s="33" t="n"/>
      <c r="J540" s="33" t="n"/>
      <c r="K540" s="33" t="n"/>
      <c r="L540" s="33" t="n"/>
      <c r="N540" s="34">
        <f>IF($A540="",NA(),IF(C540&gt;0,D540/C540,0))</f>
        <v/>
      </c>
      <c r="O540" s="34">
        <f>IF($A540="",NA(),IF(E540&gt;0,F540/E540,0))</f>
        <v/>
      </c>
      <c r="P540" s="34">
        <f>IF($A540="",NA(),IF(K540+L540&gt;0,K540/(K540+L540),0.5))</f>
        <v/>
      </c>
      <c r="Q540" s="34">
        <f>IF($A540="",NA(),1-P540)</f>
        <v/>
      </c>
      <c r="R540" s="33">
        <f>IF($A540="",NA(),MAX(0,E540-F540)*IF(G540&gt;0,H540/G540,COMPAREC_PAD)*IF(I540&gt;0,J540/I540,VALIDOS_PAD))</f>
        <v/>
      </c>
      <c r="S540" s="34">
        <f>IF($A540="",NA(),IF(R540&gt;0,0.5-(K540-L540)/(2*R540),0))</f>
        <v/>
      </c>
      <c r="T540" s="34">
        <f>IF($A540="",NA(),IF(R540&lt;=0,IF(K540&gt;L540,1,IF(K540&lt;L540,0,0.5)),1-NORMDIST(S540,P540+AJUSTE,SIGMA,TRUE)))</f>
        <v/>
      </c>
      <c r="U540" s="34">
        <f>IF($A540="",NA(),1-T540)</f>
        <v/>
      </c>
    </row>
    <row r="541">
      <c r="C541" s="33" t="n"/>
      <c r="D541" s="33" t="n"/>
      <c r="E541" s="33" t="n"/>
      <c r="F541" s="33" t="n"/>
      <c r="G541" s="33" t="n"/>
      <c r="H541" s="33" t="n"/>
      <c r="I541" s="33" t="n"/>
      <c r="J541" s="33" t="n"/>
      <c r="K541" s="33" t="n"/>
      <c r="L541" s="33" t="n"/>
      <c r="N541" s="34">
        <f>IF($A541="",NA(),IF(C541&gt;0,D541/C541,0))</f>
        <v/>
      </c>
      <c r="O541" s="34">
        <f>IF($A541="",NA(),IF(E541&gt;0,F541/E541,0))</f>
        <v/>
      </c>
      <c r="P541" s="34">
        <f>IF($A541="",NA(),IF(K541+L541&gt;0,K541/(K541+L541),0.5))</f>
        <v/>
      </c>
      <c r="Q541" s="34">
        <f>IF($A541="",NA(),1-P541)</f>
        <v/>
      </c>
      <c r="R541" s="33">
        <f>IF($A541="",NA(),MAX(0,E541-F541)*IF(G541&gt;0,H541/G541,COMPAREC_PAD)*IF(I541&gt;0,J541/I541,VALIDOS_PAD))</f>
        <v/>
      </c>
      <c r="S541" s="34">
        <f>IF($A541="",NA(),IF(R541&gt;0,0.5-(K541-L541)/(2*R541),0))</f>
        <v/>
      </c>
      <c r="T541" s="34">
        <f>IF($A541="",NA(),IF(R541&lt;=0,IF(K541&gt;L541,1,IF(K541&lt;L541,0,0.5)),1-NORMDIST(S541,P541+AJUSTE,SIGMA,TRUE)))</f>
        <v/>
      </c>
      <c r="U541" s="34">
        <f>IF($A541="",NA(),1-T541)</f>
        <v/>
      </c>
    </row>
    <row r="542">
      <c r="C542" s="33" t="n"/>
      <c r="D542" s="33" t="n"/>
      <c r="E542" s="33" t="n"/>
      <c r="F542" s="33" t="n"/>
      <c r="G542" s="33" t="n"/>
      <c r="H542" s="33" t="n"/>
      <c r="I542" s="33" t="n"/>
      <c r="J542" s="33" t="n"/>
      <c r="K542" s="33" t="n"/>
      <c r="L542" s="33" t="n"/>
      <c r="N542" s="34">
        <f>IF($A542="",NA(),IF(C542&gt;0,D542/C542,0))</f>
        <v/>
      </c>
      <c r="O542" s="34">
        <f>IF($A542="",NA(),IF(E542&gt;0,F542/E542,0))</f>
        <v/>
      </c>
      <c r="P542" s="34">
        <f>IF($A542="",NA(),IF(K542+L542&gt;0,K542/(K542+L542),0.5))</f>
        <v/>
      </c>
      <c r="Q542" s="34">
        <f>IF($A542="",NA(),1-P542)</f>
        <v/>
      </c>
      <c r="R542" s="33">
        <f>IF($A542="",NA(),MAX(0,E542-F542)*IF(G542&gt;0,H542/G542,COMPAREC_PAD)*IF(I542&gt;0,J542/I542,VALIDOS_PAD))</f>
        <v/>
      </c>
      <c r="S542" s="34">
        <f>IF($A542="",NA(),IF(R542&gt;0,0.5-(K542-L542)/(2*R542),0))</f>
        <v/>
      </c>
      <c r="T542" s="34">
        <f>IF($A542="",NA(),IF(R542&lt;=0,IF(K542&gt;L542,1,IF(K542&lt;L542,0,0.5)),1-NORMDIST(S542,P542+AJUSTE,SIGMA,TRUE)))</f>
        <v/>
      </c>
      <c r="U542" s="34">
        <f>IF($A542="",NA(),1-T542)</f>
        <v/>
      </c>
    </row>
    <row r="543">
      <c r="C543" s="33" t="n"/>
      <c r="D543" s="33" t="n"/>
      <c r="E543" s="33" t="n"/>
      <c r="F543" s="33" t="n"/>
      <c r="G543" s="33" t="n"/>
      <c r="H543" s="33" t="n"/>
      <c r="I543" s="33" t="n"/>
      <c r="J543" s="33" t="n"/>
      <c r="K543" s="33" t="n"/>
      <c r="L543" s="33" t="n"/>
      <c r="N543" s="34">
        <f>IF($A543="",NA(),IF(C543&gt;0,D543/C543,0))</f>
        <v/>
      </c>
      <c r="O543" s="34">
        <f>IF($A543="",NA(),IF(E543&gt;0,F543/E543,0))</f>
        <v/>
      </c>
      <c r="P543" s="34">
        <f>IF($A543="",NA(),IF(K543+L543&gt;0,K543/(K543+L543),0.5))</f>
        <v/>
      </c>
      <c r="Q543" s="34">
        <f>IF($A543="",NA(),1-P543)</f>
        <v/>
      </c>
      <c r="R543" s="33">
        <f>IF($A543="",NA(),MAX(0,E543-F543)*IF(G543&gt;0,H543/G543,COMPAREC_PAD)*IF(I543&gt;0,J543/I543,VALIDOS_PAD))</f>
        <v/>
      </c>
      <c r="S543" s="34">
        <f>IF($A543="",NA(),IF(R543&gt;0,0.5-(K543-L543)/(2*R543),0))</f>
        <v/>
      </c>
      <c r="T543" s="34">
        <f>IF($A543="",NA(),IF(R543&lt;=0,IF(K543&gt;L543,1,IF(K543&lt;L543,0,0.5)),1-NORMDIST(S543,P543+AJUSTE,SIGMA,TRUE)))</f>
        <v/>
      </c>
      <c r="U543" s="34">
        <f>IF($A543="",NA(),1-T543)</f>
        <v/>
      </c>
    </row>
    <row r="544">
      <c r="C544" s="33" t="n"/>
      <c r="D544" s="33" t="n"/>
      <c r="E544" s="33" t="n"/>
      <c r="F544" s="33" t="n"/>
      <c r="G544" s="33" t="n"/>
      <c r="H544" s="33" t="n"/>
      <c r="I544" s="33" t="n"/>
      <c r="J544" s="33" t="n"/>
      <c r="K544" s="33" t="n"/>
      <c r="L544" s="33" t="n"/>
      <c r="N544" s="34">
        <f>IF($A544="",NA(),IF(C544&gt;0,D544/C544,0))</f>
        <v/>
      </c>
      <c r="O544" s="34">
        <f>IF($A544="",NA(),IF(E544&gt;0,F544/E544,0))</f>
        <v/>
      </c>
      <c r="P544" s="34">
        <f>IF($A544="",NA(),IF(K544+L544&gt;0,K544/(K544+L544),0.5))</f>
        <v/>
      </c>
      <c r="Q544" s="34">
        <f>IF($A544="",NA(),1-P544)</f>
        <v/>
      </c>
      <c r="R544" s="33">
        <f>IF($A544="",NA(),MAX(0,E544-F544)*IF(G544&gt;0,H544/G544,COMPAREC_PAD)*IF(I544&gt;0,J544/I544,VALIDOS_PAD))</f>
        <v/>
      </c>
      <c r="S544" s="34">
        <f>IF($A544="",NA(),IF(R544&gt;0,0.5-(K544-L544)/(2*R544),0))</f>
        <v/>
      </c>
      <c r="T544" s="34">
        <f>IF($A544="",NA(),IF(R544&lt;=0,IF(K544&gt;L544,1,IF(K544&lt;L544,0,0.5)),1-NORMDIST(S544,P544+AJUSTE,SIGMA,TRUE)))</f>
        <v/>
      </c>
      <c r="U544" s="34">
        <f>IF($A544="",NA(),1-T544)</f>
        <v/>
      </c>
    </row>
    <row r="545">
      <c r="C545" s="33" t="n"/>
      <c r="D545" s="33" t="n"/>
      <c r="E545" s="33" t="n"/>
      <c r="F545" s="33" t="n"/>
      <c r="G545" s="33" t="n"/>
      <c r="H545" s="33" t="n"/>
      <c r="I545" s="33" t="n"/>
      <c r="J545" s="33" t="n"/>
      <c r="K545" s="33" t="n"/>
      <c r="L545" s="33" t="n"/>
      <c r="N545" s="34">
        <f>IF($A545="",NA(),IF(C545&gt;0,D545/C545,0))</f>
        <v/>
      </c>
      <c r="O545" s="34">
        <f>IF($A545="",NA(),IF(E545&gt;0,F545/E545,0))</f>
        <v/>
      </c>
      <c r="P545" s="34">
        <f>IF($A545="",NA(),IF(K545+L545&gt;0,K545/(K545+L545),0.5))</f>
        <v/>
      </c>
      <c r="Q545" s="34">
        <f>IF($A545="",NA(),1-P545)</f>
        <v/>
      </c>
      <c r="R545" s="33">
        <f>IF($A545="",NA(),MAX(0,E545-F545)*IF(G545&gt;0,H545/G545,COMPAREC_PAD)*IF(I545&gt;0,J545/I545,VALIDOS_PAD))</f>
        <v/>
      </c>
      <c r="S545" s="34">
        <f>IF($A545="",NA(),IF(R545&gt;0,0.5-(K545-L545)/(2*R545),0))</f>
        <v/>
      </c>
      <c r="T545" s="34">
        <f>IF($A545="",NA(),IF(R545&lt;=0,IF(K545&gt;L545,1,IF(K545&lt;L545,0,0.5)),1-NORMDIST(S545,P545+AJUSTE,SIGMA,TRUE)))</f>
        <v/>
      </c>
      <c r="U545" s="34">
        <f>IF($A545="",NA(),1-T545)</f>
        <v/>
      </c>
    </row>
    <row r="546"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n"/>
      <c r="L546" s="33" t="n"/>
      <c r="N546" s="34">
        <f>IF($A546="",NA(),IF(C546&gt;0,D546/C546,0))</f>
        <v/>
      </c>
      <c r="O546" s="34">
        <f>IF($A546="",NA(),IF(E546&gt;0,F546/E546,0))</f>
        <v/>
      </c>
      <c r="P546" s="34">
        <f>IF($A546="",NA(),IF(K546+L546&gt;0,K546/(K546+L546),0.5))</f>
        <v/>
      </c>
      <c r="Q546" s="34">
        <f>IF($A546="",NA(),1-P546)</f>
        <v/>
      </c>
      <c r="R546" s="33">
        <f>IF($A546="",NA(),MAX(0,E546-F546)*IF(G546&gt;0,H546/G546,COMPAREC_PAD)*IF(I546&gt;0,J546/I546,VALIDOS_PAD))</f>
        <v/>
      </c>
      <c r="S546" s="34">
        <f>IF($A546="",NA(),IF(R546&gt;0,0.5-(K546-L546)/(2*R546),0))</f>
        <v/>
      </c>
      <c r="T546" s="34">
        <f>IF($A546="",NA(),IF(R546&lt;=0,IF(K546&gt;L546,1,IF(K546&lt;L546,0,0.5)),1-NORMDIST(S546,P546+AJUSTE,SIGMA,TRUE)))</f>
        <v/>
      </c>
      <c r="U546" s="34">
        <f>IF($A546="",NA(),1-T546)</f>
        <v/>
      </c>
    </row>
    <row r="547">
      <c r="C547" s="33" t="n"/>
      <c r="D547" s="33" t="n"/>
      <c r="E547" s="33" t="n"/>
      <c r="F547" s="33" t="n"/>
      <c r="G547" s="33" t="n"/>
      <c r="H547" s="33" t="n"/>
      <c r="I547" s="33" t="n"/>
      <c r="J547" s="33" t="n"/>
      <c r="K547" s="33" t="n"/>
      <c r="L547" s="33" t="n"/>
      <c r="N547" s="34">
        <f>IF($A547="",NA(),IF(C547&gt;0,D547/C547,0))</f>
        <v/>
      </c>
      <c r="O547" s="34">
        <f>IF($A547="",NA(),IF(E547&gt;0,F547/E547,0))</f>
        <v/>
      </c>
      <c r="P547" s="34">
        <f>IF($A547="",NA(),IF(K547+L547&gt;0,K547/(K547+L547),0.5))</f>
        <v/>
      </c>
      <c r="Q547" s="34">
        <f>IF($A547="",NA(),1-P547)</f>
        <v/>
      </c>
      <c r="R547" s="33">
        <f>IF($A547="",NA(),MAX(0,E547-F547)*IF(G547&gt;0,H547/G547,COMPAREC_PAD)*IF(I547&gt;0,J547/I547,VALIDOS_PAD))</f>
        <v/>
      </c>
      <c r="S547" s="34">
        <f>IF($A547="",NA(),IF(R547&gt;0,0.5-(K547-L547)/(2*R547),0))</f>
        <v/>
      </c>
      <c r="T547" s="34">
        <f>IF($A547="",NA(),IF(R547&lt;=0,IF(K547&gt;L547,1,IF(K547&lt;L547,0,0.5)),1-NORMDIST(S547,P547+AJUSTE,SIGMA,TRUE)))</f>
        <v/>
      </c>
      <c r="U547" s="34">
        <f>IF($A547="",NA(),1-T547)</f>
        <v/>
      </c>
    </row>
    <row r="548">
      <c r="C548" s="33" t="n"/>
      <c r="D548" s="33" t="n"/>
      <c r="E548" s="33" t="n"/>
      <c r="F548" s="33" t="n"/>
      <c r="G548" s="33" t="n"/>
      <c r="H548" s="33" t="n"/>
      <c r="I548" s="33" t="n"/>
      <c r="J548" s="33" t="n"/>
      <c r="K548" s="33" t="n"/>
      <c r="L548" s="33" t="n"/>
      <c r="N548" s="34">
        <f>IF($A548="",NA(),IF(C548&gt;0,D548/C548,0))</f>
        <v/>
      </c>
      <c r="O548" s="34">
        <f>IF($A548="",NA(),IF(E548&gt;0,F548/E548,0))</f>
        <v/>
      </c>
      <c r="P548" s="34">
        <f>IF($A548="",NA(),IF(K548+L548&gt;0,K548/(K548+L548),0.5))</f>
        <v/>
      </c>
      <c r="Q548" s="34">
        <f>IF($A548="",NA(),1-P548)</f>
        <v/>
      </c>
      <c r="R548" s="33">
        <f>IF($A548="",NA(),MAX(0,E548-F548)*IF(G548&gt;0,H548/G548,COMPAREC_PAD)*IF(I548&gt;0,J548/I548,VALIDOS_PAD))</f>
        <v/>
      </c>
      <c r="S548" s="34">
        <f>IF($A548="",NA(),IF(R548&gt;0,0.5-(K548-L548)/(2*R548),0))</f>
        <v/>
      </c>
      <c r="T548" s="34">
        <f>IF($A548="",NA(),IF(R548&lt;=0,IF(K548&gt;L548,1,IF(K548&lt;L548,0,0.5)),1-NORMDIST(S548,P548+AJUSTE,SIGMA,TRUE)))</f>
        <v/>
      </c>
      <c r="U548" s="34">
        <f>IF($A548="",NA(),1-T548)</f>
        <v/>
      </c>
    </row>
    <row r="549">
      <c r="C549" s="33" t="n"/>
      <c r="D549" s="33" t="n"/>
      <c r="E549" s="33" t="n"/>
      <c r="F549" s="33" t="n"/>
      <c r="G549" s="33" t="n"/>
      <c r="H549" s="33" t="n"/>
      <c r="I549" s="33" t="n"/>
      <c r="J549" s="33" t="n"/>
      <c r="K549" s="33" t="n"/>
      <c r="L549" s="33" t="n"/>
      <c r="N549" s="34">
        <f>IF($A549="",NA(),IF(C549&gt;0,D549/C549,0))</f>
        <v/>
      </c>
      <c r="O549" s="34">
        <f>IF($A549="",NA(),IF(E549&gt;0,F549/E549,0))</f>
        <v/>
      </c>
      <c r="P549" s="34">
        <f>IF($A549="",NA(),IF(K549+L549&gt;0,K549/(K549+L549),0.5))</f>
        <v/>
      </c>
      <c r="Q549" s="34">
        <f>IF($A549="",NA(),1-P549)</f>
        <v/>
      </c>
      <c r="R549" s="33">
        <f>IF($A549="",NA(),MAX(0,E549-F549)*IF(G549&gt;0,H549/G549,COMPAREC_PAD)*IF(I549&gt;0,J549/I549,VALIDOS_PAD))</f>
        <v/>
      </c>
      <c r="S549" s="34">
        <f>IF($A549="",NA(),IF(R549&gt;0,0.5-(K549-L549)/(2*R549),0))</f>
        <v/>
      </c>
      <c r="T549" s="34">
        <f>IF($A549="",NA(),IF(R549&lt;=0,IF(K549&gt;L549,1,IF(K549&lt;L549,0,0.5)),1-NORMDIST(S549,P549+AJUSTE,SIGMA,TRUE)))</f>
        <v/>
      </c>
      <c r="U549" s="34">
        <f>IF($A549="",NA(),1-T549)</f>
        <v/>
      </c>
    </row>
    <row r="550">
      <c r="C550" s="33" t="n"/>
      <c r="D550" s="33" t="n"/>
      <c r="E550" s="33" t="n"/>
      <c r="F550" s="33" t="n"/>
      <c r="G550" s="33" t="n"/>
      <c r="H550" s="33" t="n"/>
      <c r="I550" s="33" t="n"/>
      <c r="J550" s="33" t="n"/>
      <c r="K550" s="33" t="n"/>
      <c r="L550" s="33" t="n"/>
      <c r="N550" s="34">
        <f>IF($A550="",NA(),IF(C550&gt;0,D550/C550,0))</f>
        <v/>
      </c>
      <c r="O550" s="34">
        <f>IF($A550="",NA(),IF(E550&gt;0,F550/E550,0))</f>
        <v/>
      </c>
      <c r="P550" s="34">
        <f>IF($A550="",NA(),IF(K550+L550&gt;0,K550/(K550+L550),0.5))</f>
        <v/>
      </c>
      <c r="Q550" s="34">
        <f>IF($A550="",NA(),1-P550)</f>
        <v/>
      </c>
      <c r="R550" s="33">
        <f>IF($A550="",NA(),MAX(0,E550-F550)*IF(G550&gt;0,H550/G550,COMPAREC_PAD)*IF(I550&gt;0,J550/I550,VALIDOS_PAD))</f>
        <v/>
      </c>
      <c r="S550" s="34">
        <f>IF($A550="",NA(),IF(R550&gt;0,0.5-(K550-L550)/(2*R550),0))</f>
        <v/>
      </c>
      <c r="T550" s="34">
        <f>IF($A550="",NA(),IF(R550&lt;=0,IF(K550&gt;L550,1,IF(K550&lt;L550,0,0.5)),1-NORMDIST(S550,P550+AJUSTE,SIGMA,TRUE)))</f>
        <v/>
      </c>
      <c r="U550" s="34">
        <f>IF($A550="",NA(),1-T550)</f>
        <v/>
      </c>
    </row>
    <row r="551">
      <c r="C551" s="33" t="n"/>
      <c r="D551" s="33" t="n"/>
      <c r="E551" s="33" t="n"/>
      <c r="F551" s="33" t="n"/>
      <c r="G551" s="33" t="n"/>
      <c r="H551" s="33" t="n"/>
      <c r="I551" s="33" t="n"/>
      <c r="J551" s="33" t="n"/>
      <c r="K551" s="33" t="n"/>
      <c r="L551" s="33" t="n"/>
      <c r="N551" s="34">
        <f>IF($A551="",NA(),IF(C551&gt;0,D551/C551,0))</f>
        <v/>
      </c>
      <c r="O551" s="34">
        <f>IF($A551="",NA(),IF(E551&gt;0,F551/E551,0))</f>
        <v/>
      </c>
      <c r="P551" s="34">
        <f>IF($A551="",NA(),IF(K551+L551&gt;0,K551/(K551+L551),0.5))</f>
        <v/>
      </c>
      <c r="Q551" s="34">
        <f>IF($A551="",NA(),1-P551)</f>
        <v/>
      </c>
      <c r="R551" s="33">
        <f>IF($A551="",NA(),MAX(0,E551-F551)*IF(G551&gt;0,H551/G551,COMPAREC_PAD)*IF(I551&gt;0,J551/I551,VALIDOS_PAD))</f>
        <v/>
      </c>
      <c r="S551" s="34">
        <f>IF($A551="",NA(),IF(R551&gt;0,0.5-(K551-L551)/(2*R551),0))</f>
        <v/>
      </c>
      <c r="T551" s="34">
        <f>IF($A551="",NA(),IF(R551&lt;=0,IF(K551&gt;L551,1,IF(K551&lt;L551,0,0.5)),1-NORMDIST(S551,P551+AJUSTE,SIGMA,TRUE)))</f>
        <v/>
      </c>
      <c r="U551" s="34">
        <f>IF($A551="",NA(),1-T551)</f>
        <v/>
      </c>
    </row>
    <row r="552"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n"/>
      <c r="L552" s="33" t="n"/>
      <c r="N552" s="34">
        <f>IF($A552="",NA(),IF(C552&gt;0,D552/C552,0))</f>
        <v/>
      </c>
      <c r="O552" s="34">
        <f>IF($A552="",NA(),IF(E552&gt;0,F552/E552,0))</f>
        <v/>
      </c>
      <c r="P552" s="34">
        <f>IF($A552="",NA(),IF(K552+L552&gt;0,K552/(K552+L552),0.5))</f>
        <v/>
      </c>
      <c r="Q552" s="34">
        <f>IF($A552="",NA(),1-P552)</f>
        <v/>
      </c>
      <c r="R552" s="33">
        <f>IF($A552="",NA(),MAX(0,E552-F552)*IF(G552&gt;0,H552/G552,COMPAREC_PAD)*IF(I552&gt;0,J552/I552,VALIDOS_PAD))</f>
        <v/>
      </c>
      <c r="S552" s="34">
        <f>IF($A552="",NA(),IF(R552&gt;0,0.5-(K552-L552)/(2*R552),0))</f>
        <v/>
      </c>
      <c r="T552" s="34">
        <f>IF($A552="",NA(),IF(R552&lt;=0,IF(K552&gt;L552,1,IF(K552&lt;L552,0,0.5)),1-NORMDIST(S552,P552+AJUSTE,SIGMA,TRUE)))</f>
        <v/>
      </c>
      <c r="U552" s="34">
        <f>IF($A552="",NA(),1-T552)</f>
        <v/>
      </c>
    </row>
    <row r="553">
      <c r="C553" s="33" t="n"/>
      <c r="D553" s="33" t="n"/>
      <c r="E553" s="33" t="n"/>
      <c r="F553" s="33" t="n"/>
      <c r="G553" s="33" t="n"/>
      <c r="H553" s="33" t="n"/>
      <c r="I553" s="33" t="n"/>
      <c r="J553" s="33" t="n"/>
      <c r="K553" s="33" t="n"/>
      <c r="L553" s="33" t="n"/>
      <c r="N553" s="34">
        <f>IF($A553="",NA(),IF(C553&gt;0,D553/C553,0))</f>
        <v/>
      </c>
      <c r="O553" s="34">
        <f>IF($A553="",NA(),IF(E553&gt;0,F553/E553,0))</f>
        <v/>
      </c>
      <c r="P553" s="34">
        <f>IF($A553="",NA(),IF(K553+L553&gt;0,K553/(K553+L553),0.5))</f>
        <v/>
      </c>
      <c r="Q553" s="34">
        <f>IF($A553="",NA(),1-P553)</f>
        <v/>
      </c>
      <c r="R553" s="33">
        <f>IF($A553="",NA(),MAX(0,E553-F553)*IF(G553&gt;0,H553/G553,COMPAREC_PAD)*IF(I553&gt;0,J553/I553,VALIDOS_PAD))</f>
        <v/>
      </c>
      <c r="S553" s="34">
        <f>IF($A553="",NA(),IF(R553&gt;0,0.5-(K553-L553)/(2*R553),0))</f>
        <v/>
      </c>
      <c r="T553" s="34">
        <f>IF($A553="",NA(),IF(R553&lt;=0,IF(K553&gt;L553,1,IF(K553&lt;L553,0,0.5)),1-NORMDIST(S553,P553+AJUSTE,SIGMA,TRUE)))</f>
        <v/>
      </c>
      <c r="U553" s="34">
        <f>IF($A553="",NA(),1-T553)</f>
        <v/>
      </c>
    </row>
    <row r="554">
      <c r="C554" s="33" t="n"/>
      <c r="D554" s="33" t="n"/>
      <c r="E554" s="33" t="n"/>
      <c r="F554" s="33" t="n"/>
      <c r="G554" s="33" t="n"/>
      <c r="H554" s="33" t="n"/>
      <c r="I554" s="33" t="n"/>
      <c r="J554" s="33" t="n"/>
      <c r="K554" s="33" t="n"/>
      <c r="L554" s="33" t="n"/>
      <c r="N554" s="34">
        <f>IF($A554="",NA(),IF(C554&gt;0,D554/C554,0))</f>
        <v/>
      </c>
      <c r="O554" s="34">
        <f>IF($A554="",NA(),IF(E554&gt;0,F554/E554,0))</f>
        <v/>
      </c>
      <c r="P554" s="34">
        <f>IF($A554="",NA(),IF(K554+L554&gt;0,K554/(K554+L554),0.5))</f>
        <v/>
      </c>
      <c r="Q554" s="34">
        <f>IF($A554="",NA(),1-P554)</f>
        <v/>
      </c>
      <c r="R554" s="33">
        <f>IF($A554="",NA(),MAX(0,E554-F554)*IF(G554&gt;0,H554/G554,COMPAREC_PAD)*IF(I554&gt;0,J554/I554,VALIDOS_PAD))</f>
        <v/>
      </c>
      <c r="S554" s="34">
        <f>IF($A554="",NA(),IF(R554&gt;0,0.5-(K554-L554)/(2*R554),0))</f>
        <v/>
      </c>
      <c r="T554" s="34">
        <f>IF($A554="",NA(),IF(R554&lt;=0,IF(K554&gt;L554,1,IF(K554&lt;L554,0,0.5)),1-NORMDIST(S554,P554+AJUSTE,SIGMA,TRUE)))</f>
        <v/>
      </c>
      <c r="U554" s="34">
        <f>IF($A554="",NA(),1-T554)</f>
        <v/>
      </c>
    </row>
    <row r="555">
      <c r="C555" s="33" t="n"/>
      <c r="D555" s="33" t="n"/>
      <c r="E555" s="33" t="n"/>
      <c r="F555" s="33" t="n"/>
      <c r="G555" s="33" t="n"/>
      <c r="H555" s="33" t="n"/>
      <c r="I555" s="33" t="n"/>
      <c r="J555" s="33" t="n"/>
      <c r="K555" s="33" t="n"/>
      <c r="L555" s="33" t="n"/>
      <c r="N555" s="34">
        <f>IF($A555="",NA(),IF(C555&gt;0,D555/C555,0))</f>
        <v/>
      </c>
      <c r="O555" s="34">
        <f>IF($A555="",NA(),IF(E555&gt;0,F555/E555,0))</f>
        <v/>
      </c>
      <c r="P555" s="34">
        <f>IF($A555="",NA(),IF(K555+L555&gt;0,K555/(K555+L555),0.5))</f>
        <v/>
      </c>
      <c r="Q555" s="34">
        <f>IF($A555="",NA(),1-P555)</f>
        <v/>
      </c>
      <c r="R555" s="33">
        <f>IF($A555="",NA(),MAX(0,E555-F555)*IF(G555&gt;0,H555/G555,COMPAREC_PAD)*IF(I555&gt;0,J555/I555,VALIDOS_PAD))</f>
        <v/>
      </c>
      <c r="S555" s="34">
        <f>IF($A555="",NA(),IF(R555&gt;0,0.5-(K555-L555)/(2*R555),0))</f>
        <v/>
      </c>
      <c r="T555" s="34">
        <f>IF($A555="",NA(),IF(R555&lt;=0,IF(K555&gt;L555,1,IF(K555&lt;L555,0,0.5)),1-NORMDIST(S555,P555+AJUSTE,SIGMA,TRUE)))</f>
        <v/>
      </c>
      <c r="U555" s="34">
        <f>IF($A555="",NA(),1-T555)</f>
        <v/>
      </c>
    </row>
    <row r="556">
      <c r="C556" s="33" t="n"/>
      <c r="D556" s="33" t="n"/>
      <c r="E556" s="33" t="n"/>
      <c r="F556" s="33" t="n"/>
      <c r="G556" s="33" t="n"/>
      <c r="H556" s="33" t="n"/>
      <c r="I556" s="33" t="n"/>
      <c r="J556" s="33" t="n"/>
      <c r="K556" s="33" t="n"/>
      <c r="L556" s="33" t="n"/>
      <c r="N556" s="34">
        <f>IF($A556="",NA(),IF(C556&gt;0,D556/C556,0))</f>
        <v/>
      </c>
      <c r="O556" s="34">
        <f>IF($A556="",NA(),IF(E556&gt;0,F556/E556,0))</f>
        <v/>
      </c>
      <c r="P556" s="34">
        <f>IF($A556="",NA(),IF(K556+L556&gt;0,K556/(K556+L556),0.5))</f>
        <v/>
      </c>
      <c r="Q556" s="34">
        <f>IF($A556="",NA(),1-P556)</f>
        <v/>
      </c>
      <c r="R556" s="33">
        <f>IF($A556="",NA(),MAX(0,E556-F556)*IF(G556&gt;0,H556/G556,COMPAREC_PAD)*IF(I556&gt;0,J556/I556,VALIDOS_PAD))</f>
        <v/>
      </c>
      <c r="S556" s="34">
        <f>IF($A556="",NA(),IF(R556&gt;0,0.5-(K556-L556)/(2*R556),0))</f>
        <v/>
      </c>
      <c r="T556" s="34">
        <f>IF($A556="",NA(),IF(R556&lt;=0,IF(K556&gt;L556,1,IF(K556&lt;L556,0,0.5)),1-NORMDIST(S556,P556+AJUSTE,SIGMA,TRUE)))</f>
        <v/>
      </c>
      <c r="U556" s="34">
        <f>IF($A556="",NA(),1-T556)</f>
        <v/>
      </c>
    </row>
    <row r="557">
      <c r="C557" s="33" t="n"/>
      <c r="D557" s="33" t="n"/>
      <c r="E557" s="33" t="n"/>
      <c r="F557" s="33" t="n"/>
      <c r="G557" s="33" t="n"/>
      <c r="H557" s="33" t="n"/>
      <c r="I557" s="33" t="n"/>
      <c r="J557" s="33" t="n"/>
      <c r="K557" s="33" t="n"/>
      <c r="L557" s="33" t="n"/>
      <c r="N557" s="34">
        <f>IF($A557="",NA(),IF(C557&gt;0,D557/C557,0))</f>
        <v/>
      </c>
      <c r="O557" s="34">
        <f>IF($A557="",NA(),IF(E557&gt;0,F557/E557,0))</f>
        <v/>
      </c>
      <c r="P557" s="34">
        <f>IF($A557="",NA(),IF(K557+L557&gt;0,K557/(K557+L557),0.5))</f>
        <v/>
      </c>
      <c r="Q557" s="34">
        <f>IF($A557="",NA(),1-P557)</f>
        <v/>
      </c>
      <c r="R557" s="33">
        <f>IF($A557="",NA(),MAX(0,E557-F557)*IF(G557&gt;0,H557/G557,COMPAREC_PAD)*IF(I557&gt;0,J557/I557,VALIDOS_PAD))</f>
        <v/>
      </c>
      <c r="S557" s="34">
        <f>IF($A557="",NA(),IF(R557&gt;0,0.5-(K557-L557)/(2*R557),0))</f>
        <v/>
      </c>
      <c r="T557" s="34">
        <f>IF($A557="",NA(),IF(R557&lt;=0,IF(K557&gt;L557,1,IF(K557&lt;L557,0,0.5)),1-NORMDIST(S557,P557+AJUSTE,SIGMA,TRUE)))</f>
        <v/>
      </c>
      <c r="U557" s="34">
        <f>IF($A557="",NA(),1-T557)</f>
        <v/>
      </c>
    </row>
    <row r="558">
      <c r="C558" s="33" t="n"/>
      <c r="D558" s="33" t="n"/>
      <c r="E558" s="33" t="n"/>
      <c r="F558" s="33" t="n"/>
      <c r="G558" s="33" t="n"/>
      <c r="H558" s="33" t="n"/>
      <c r="I558" s="33" t="n"/>
      <c r="J558" s="33" t="n"/>
      <c r="K558" s="33" t="n"/>
      <c r="L558" s="33" t="n"/>
      <c r="N558" s="34">
        <f>IF($A558="",NA(),IF(C558&gt;0,D558/C558,0))</f>
        <v/>
      </c>
      <c r="O558" s="34">
        <f>IF($A558="",NA(),IF(E558&gt;0,F558/E558,0))</f>
        <v/>
      </c>
      <c r="P558" s="34">
        <f>IF($A558="",NA(),IF(K558+L558&gt;0,K558/(K558+L558),0.5))</f>
        <v/>
      </c>
      <c r="Q558" s="34">
        <f>IF($A558="",NA(),1-P558)</f>
        <v/>
      </c>
      <c r="R558" s="33">
        <f>IF($A558="",NA(),MAX(0,E558-F558)*IF(G558&gt;0,H558/G558,COMPAREC_PAD)*IF(I558&gt;0,J558/I558,VALIDOS_PAD))</f>
        <v/>
      </c>
      <c r="S558" s="34">
        <f>IF($A558="",NA(),IF(R558&gt;0,0.5-(K558-L558)/(2*R558),0))</f>
        <v/>
      </c>
      <c r="T558" s="34">
        <f>IF($A558="",NA(),IF(R558&lt;=0,IF(K558&gt;L558,1,IF(K558&lt;L558,0,0.5)),1-NORMDIST(S558,P558+AJUSTE,SIGMA,TRUE)))</f>
        <v/>
      </c>
      <c r="U558" s="34">
        <f>IF($A558="",NA(),1-T558)</f>
        <v/>
      </c>
    </row>
    <row r="559">
      <c r="C559" s="33" t="n"/>
      <c r="D559" s="33" t="n"/>
      <c r="E559" s="33" t="n"/>
      <c r="F559" s="33" t="n"/>
      <c r="G559" s="33" t="n"/>
      <c r="H559" s="33" t="n"/>
      <c r="I559" s="33" t="n"/>
      <c r="J559" s="33" t="n"/>
      <c r="K559" s="33" t="n"/>
      <c r="L559" s="33" t="n"/>
      <c r="N559" s="34">
        <f>IF($A559="",NA(),IF(C559&gt;0,D559/C559,0))</f>
        <v/>
      </c>
      <c r="O559" s="34">
        <f>IF($A559="",NA(),IF(E559&gt;0,F559/E559,0))</f>
        <v/>
      </c>
      <c r="P559" s="34">
        <f>IF($A559="",NA(),IF(K559+L559&gt;0,K559/(K559+L559),0.5))</f>
        <v/>
      </c>
      <c r="Q559" s="34">
        <f>IF($A559="",NA(),1-P559)</f>
        <v/>
      </c>
      <c r="R559" s="33">
        <f>IF($A559="",NA(),MAX(0,E559-F559)*IF(G559&gt;0,H559/G559,COMPAREC_PAD)*IF(I559&gt;0,J559/I559,VALIDOS_PAD))</f>
        <v/>
      </c>
      <c r="S559" s="34">
        <f>IF($A559="",NA(),IF(R559&gt;0,0.5-(K559-L559)/(2*R559),0))</f>
        <v/>
      </c>
      <c r="T559" s="34">
        <f>IF($A559="",NA(),IF(R559&lt;=0,IF(K559&gt;L559,1,IF(K559&lt;L559,0,0.5)),1-NORMDIST(S559,P559+AJUSTE,SIGMA,TRUE)))</f>
        <v/>
      </c>
      <c r="U559" s="34">
        <f>IF($A559="",NA(),1-T559)</f>
        <v/>
      </c>
    </row>
    <row r="560">
      <c r="C560" s="33" t="n"/>
      <c r="D560" s="33" t="n"/>
      <c r="E560" s="33" t="n"/>
      <c r="F560" s="33" t="n"/>
      <c r="G560" s="33" t="n"/>
      <c r="H560" s="33" t="n"/>
      <c r="I560" s="33" t="n"/>
      <c r="J560" s="33" t="n"/>
      <c r="K560" s="33" t="n"/>
      <c r="L560" s="33" t="n"/>
      <c r="N560" s="34">
        <f>IF($A560="",NA(),IF(C560&gt;0,D560/C560,0))</f>
        <v/>
      </c>
      <c r="O560" s="34">
        <f>IF($A560="",NA(),IF(E560&gt;0,F560/E560,0))</f>
        <v/>
      </c>
      <c r="P560" s="34">
        <f>IF($A560="",NA(),IF(K560+L560&gt;0,K560/(K560+L560),0.5))</f>
        <v/>
      </c>
      <c r="Q560" s="34">
        <f>IF($A560="",NA(),1-P560)</f>
        <v/>
      </c>
      <c r="R560" s="33">
        <f>IF($A560="",NA(),MAX(0,E560-F560)*IF(G560&gt;0,H560/G560,COMPAREC_PAD)*IF(I560&gt;0,J560/I560,VALIDOS_PAD))</f>
        <v/>
      </c>
      <c r="S560" s="34">
        <f>IF($A560="",NA(),IF(R560&gt;0,0.5-(K560-L560)/(2*R560),0))</f>
        <v/>
      </c>
      <c r="T560" s="34">
        <f>IF($A560="",NA(),IF(R560&lt;=0,IF(K560&gt;L560,1,IF(K560&lt;L560,0,0.5)),1-NORMDIST(S560,P560+AJUSTE,SIGMA,TRUE)))</f>
        <v/>
      </c>
      <c r="U560" s="34">
        <f>IF($A560="",NA(),1-T560)</f>
        <v/>
      </c>
    </row>
    <row r="561">
      <c r="C561" s="33" t="n"/>
      <c r="D561" s="33" t="n"/>
      <c r="E561" s="33" t="n"/>
      <c r="F561" s="33" t="n"/>
      <c r="G561" s="33" t="n"/>
      <c r="H561" s="33" t="n"/>
      <c r="I561" s="33" t="n"/>
      <c r="J561" s="33" t="n"/>
      <c r="K561" s="33" t="n"/>
      <c r="L561" s="33" t="n"/>
      <c r="N561" s="34">
        <f>IF($A561="",NA(),IF(C561&gt;0,D561/C561,0))</f>
        <v/>
      </c>
      <c r="O561" s="34">
        <f>IF($A561="",NA(),IF(E561&gt;0,F561/E561,0))</f>
        <v/>
      </c>
      <c r="P561" s="34">
        <f>IF($A561="",NA(),IF(K561+L561&gt;0,K561/(K561+L561),0.5))</f>
        <v/>
      </c>
      <c r="Q561" s="34">
        <f>IF($A561="",NA(),1-P561)</f>
        <v/>
      </c>
      <c r="R561" s="33">
        <f>IF($A561="",NA(),MAX(0,E561-F561)*IF(G561&gt;0,H561/G561,COMPAREC_PAD)*IF(I561&gt;0,J561/I561,VALIDOS_PAD))</f>
        <v/>
      </c>
      <c r="S561" s="34">
        <f>IF($A561="",NA(),IF(R561&gt;0,0.5-(K561-L561)/(2*R561),0))</f>
        <v/>
      </c>
      <c r="T561" s="34">
        <f>IF($A561="",NA(),IF(R561&lt;=0,IF(K561&gt;L561,1,IF(K561&lt;L561,0,0.5)),1-NORMDIST(S561,P561+AJUSTE,SIGMA,TRUE)))</f>
        <v/>
      </c>
      <c r="U561" s="34">
        <f>IF($A561="",NA(),1-T561)</f>
        <v/>
      </c>
    </row>
    <row r="562">
      <c r="C562" s="33" t="n"/>
      <c r="D562" s="33" t="n"/>
      <c r="E562" s="33" t="n"/>
      <c r="F562" s="33" t="n"/>
      <c r="G562" s="33" t="n"/>
      <c r="H562" s="33" t="n"/>
      <c r="I562" s="33" t="n"/>
      <c r="J562" s="33" t="n"/>
      <c r="K562" s="33" t="n"/>
      <c r="L562" s="33" t="n"/>
      <c r="N562" s="34">
        <f>IF($A562="",NA(),IF(C562&gt;0,D562/C562,0))</f>
        <v/>
      </c>
      <c r="O562" s="34">
        <f>IF($A562="",NA(),IF(E562&gt;0,F562/E562,0))</f>
        <v/>
      </c>
      <c r="P562" s="34">
        <f>IF($A562="",NA(),IF(K562+L562&gt;0,K562/(K562+L562),0.5))</f>
        <v/>
      </c>
      <c r="Q562" s="34">
        <f>IF($A562="",NA(),1-P562)</f>
        <v/>
      </c>
      <c r="R562" s="33">
        <f>IF($A562="",NA(),MAX(0,E562-F562)*IF(G562&gt;0,H562/G562,COMPAREC_PAD)*IF(I562&gt;0,J562/I562,VALIDOS_PAD))</f>
        <v/>
      </c>
      <c r="S562" s="34">
        <f>IF($A562="",NA(),IF(R562&gt;0,0.5-(K562-L562)/(2*R562),0))</f>
        <v/>
      </c>
      <c r="T562" s="34">
        <f>IF($A562="",NA(),IF(R562&lt;=0,IF(K562&gt;L562,1,IF(K562&lt;L562,0,0.5)),1-NORMDIST(S562,P562+AJUSTE,SIGMA,TRUE)))</f>
        <v/>
      </c>
      <c r="U562" s="34">
        <f>IF($A562="",NA(),1-T562)</f>
        <v/>
      </c>
    </row>
    <row r="563">
      <c r="C563" s="33" t="n"/>
      <c r="D563" s="33" t="n"/>
      <c r="E563" s="33" t="n"/>
      <c r="F563" s="33" t="n"/>
      <c r="G563" s="33" t="n"/>
      <c r="H563" s="33" t="n"/>
      <c r="I563" s="33" t="n"/>
      <c r="J563" s="33" t="n"/>
      <c r="K563" s="33" t="n"/>
      <c r="L563" s="33" t="n"/>
      <c r="N563" s="34">
        <f>IF($A563="",NA(),IF(C563&gt;0,D563/C563,0))</f>
        <v/>
      </c>
      <c r="O563" s="34">
        <f>IF($A563="",NA(),IF(E563&gt;0,F563/E563,0))</f>
        <v/>
      </c>
      <c r="P563" s="34">
        <f>IF($A563="",NA(),IF(K563+L563&gt;0,K563/(K563+L563),0.5))</f>
        <v/>
      </c>
      <c r="Q563" s="34">
        <f>IF($A563="",NA(),1-P563)</f>
        <v/>
      </c>
      <c r="R563" s="33">
        <f>IF($A563="",NA(),MAX(0,E563-F563)*IF(G563&gt;0,H563/G563,COMPAREC_PAD)*IF(I563&gt;0,J563/I563,VALIDOS_PAD))</f>
        <v/>
      </c>
      <c r="S563" s="34">
        <f>IF($A563="",NA(),IF(R563&gt;0,0.5-(K563-L563)/(2*R563),0))</f>
        <v/>
      </c>
      <c r="T563" s="34">
        <f>IF($A563="",NA(),IF(R563&lt;=0,IF(K563&gt;L563,1,IF(K563&lt;L563,0,0.5)),1-NORMDIST(S563,P563+AJUSTE,SIGMA,TRUE)))</f>
        <v/>
      </c>
      <c r="U563" s="34">
        <f>IF($A563="",NA(),1-T563)</f>
        <v/>
      </c>
    </row>
    <row r="564">
      <c r="C564" s="33" t="n"/>
      <c r="D564" s="33" t="n"/>
      <c r="E564" s="33" t="n"/>
      <c r="F564" s="33" t="n"/>
      <c r="G564" s="33" t="n"/>
      <c r="H564" s="33" t="n"/>
      <c r="I564" s="33" t="n"/>
      <c r="J564" s="33" t="n"/>
      <c r="K564" s="33" t="n"/>
      <c r="L564" s="33" t="n"/>
      <c r="N564" s="34">
        <f>IF($A564="",NA(),IF(C564&gt;0,D564/C564,0))</f>
        <v/>
      </c>
      <c r="O564" s="34">
        <f>IF($A564="",NA(),IF(E564&gt;0,F564/E564,0))</f>
        <v/>
      </c>
      <c r="P564" s="34">
        <f>IF($A564="",NA(),IF(K564+L564&gt;0,K564/(K564+L564),0.5))</f>
        <v/>
      </c>
      <c r="Q564" s="34">
        <f>IF($A564="",NA(),1-P564)</f>
        <v/>
      </c>
      <c r="R564" s="33">
        <f>IF($A564="",NA(),MAX(0,E564-F564)*IF(G564&gt;0,H564/G564,COMPAREC_PAD)*IF(I564&gt;0,J564/I564,VALIDOS_PAD))</f>
        <v/>
      </c>
      <c r="S564" s="34">
        <f>IF($A564="",NA(),IF(R564&gt;0,0.5-(K564-L564)/(2*R564),0))</f>
        <v/>
      </c>
      <c r="T564" s="34">
        <f>IF($A564="",NA(),IF(R564&lt;=0,IF(K564&gt;L564,1,IF(K564&lt;L564,0,0.5)),1-NORMDIST(S564,P564+AJUSTE,SIGMA,TRUE)))</f>
        <v/>
      </c>
      <c r="U564" s="34">
        <f>IF($A564="",NA(),1-T564)</f>
        <v/>
      </c>
    </row>
    <row r="565">
      <c r="C565" s="33" t="n"/>
      <c r="D565" s="33" t="n"/>
      <c r="E565" s="33" t="n"/>
      <c r="F565" s="33" t="n"/>
      <c r="G565" s="33" t="n"/>
      <c r="H565" s="33" t="n"/>
      <c r="I565" s="33" t="n"/>
      <c r="J565" s="33" t="n"/>
      <c r="K565" s="33" t="n"/>
      <c r="L565" s="33" t="n"/>
      <c r="N565" s="34">
        <f>IF($A565="",NA(),IF(C565&gt;0,D565/C565,0))</f>
        <v/>
      </c>
      <c r="O565" s="34">
        <f>IF($A565="",NA(),IF(E565&gt;0,F565/E565,0))</f>
        <v/>
      </c>
      <c r="P565" s="34">
        <f>IF($A565="",NA(),IF(K565+L565&gt;0,K565/(K565+L565),0.5))</f>
        <v/>
      </c>
      <c r="Q565" s="34">
        <f>IF($A565="",NA(),1-P565)</f>
        <v/>
      </c>
      <c r="R565" s="33">
        <f>IF($A565="",NA(),MAX(0,E565-F565)*IF(G565&gt;0,H565/G565,COMPAREC_PAD)*IF(I565&gt;0,J565/I565,VALIDOS_PAD))</f>
        <v/>
      </c>
      <c r="S565" s="34">
        <f>IF($A565="",NA(),IF(R565&gt;0,0.5-(K565-L565)/(2*R565),0))</f>
        <v/>
      </c>
      <c r="T565" s="34">
        <f>IF($A565="",NA(),IF(R565&lt;=0,IF(K565&gt;L565,1,IF(K565&lt;L565,0,0.5)),1-NORMDIST(S565,P565+AJUSTE,SIGMA,TRUE)))</f>
        <v/>
      </c>
      <c r="U565" s="34">
        <f>IF($A565="",NA(),1-T565)</f>
        <v/>
      </c>
    </row>
    <row r="566">
      <c r="C566" s="33" t="n"/>
      <c r="D566" s="33" t="n"/>
      <c r="E566" s="33" t="n"/>
      <c r="F566" s="33" t="n"/>
      <c r="G566" s="33" t="n"/>
      <c r="H566" s="33" t="n"/>
      <c r="I566" s="33" t="n"/>
      <c r="J566" s="33" t="n"/>
      <c r="K566" s="33" t="n"/>
      <c r="L566" s="33" t="n"/>
      <c r="N566" s="34">
        <f>IF($A566="",NA(),IF(C566&gt;0,D566/C566,0))</f>
        <v/>
      </c>
      <c r="O566" s="34">
        <f>IF($A566="",NA(),IF(E566&gt;0,F566/E566,0))</f>
        <v/>
      </c>
      <c r="P566" s="34">
        <f>IF($A566="",NA(),IF(K566+L566&gt;0,K566/(K566+L566),0.5))</f>
        <v/>
      </c>
      <c r="Q566" s="34">
        <f>IF($A566="",NA(),1-P566)</f>
        <v/>
      </c>
      <c r="R566" s="33">
        <f>IF($A566="",NA(),MAX(0,E566-F566)*IF(G566&gt;0,H566/G566,COMPAREC_PAD)*IF(I566&gt;0,J566/I566,VALIDOS_PAD))</f>
        <v/>
      </c>
      <c r="S566" s="34">
        <f>IF($A566="",NA(),IF(R566&gt;0,0.5-(K566-L566)/(2*R566),0))</f>
        <v/>
      </c>
      <c r="T566" s="34">
        <f>IF($A566="",NA(),IF(R566&lt;=0,IF(K566&gt;L566,1,IF(K566&lt;L566,0,0.5)),1-NORMDIST(S566,P566+AJUSTE,SIGMA,TRUE)))</f>
        <v/>
      </c>
      <c r="U566" s="34">
        <f>IF($A566="",NA(),1-T566)</f>
        <v/>
      </c>
    </row>
    <row r="567">
      <c r="C567" s="33" t="n"/>
      <c r="D567" s="33" t="n"/>
      <c r="E567" s="33" t="n"/>
      <c r="F567" s="33" t="n"/>
      <c r="G567" s="33" t="n"/>
      <c r="H567" s="33" t="n"/>
      <c r="I567" s="33" t="n"/>
      <c r="J567" s="33" t="n"/>
      <c r="K567" s="33" t="n"/>
      <c r="L567" s="33" t="n"/>
      <c r="N567" s="34">
        <f>IF($A567="",NA(),IF(C567&gt;0,D567/C567,0))</f>
        <v/>
      </c>
      <c r="O567" s="34">
        <f>IF($A567="",NA(),IF(E567&gt;0,F567/E567,0))</f>
        <v/>
      </c>
      <c r="P567" s="34">
        <f>IF($A567="",NA(),IF(K567+L567&gt;0,K567/(K567+L567),0.5))</f>
        <v/>
      </c>
      <c r="Q567" s="34">
        <f>IF($A567="",NA(),1-P567)</f>
        <v/>
      </c>
      <c r="R567" s="33">
        <f>IF($A567="",NA(),MAX(0,E567-F567)*IF(G567&gt;0,H567/G567,COMPAREC_PAD)*IF(I567&gt;0,J567/I567,VALIDOS_PAD))</f>
        <v/>
      </c>
      <c r="S567" s="34">
        <f>IF($A567="",NA(),IF(R567&gt;0,0.5-(K567-L567)/(2*R567),0))</f>
        <v/>
      </c>
      <c r="T567" s="34">
        <f>IF($A567="",NA(),IF(R567&lt;=0,IF(K567&gt;L567,1,IF(K567&lt;L567,0,0.5)),1-NORMDIST(S567,P567+AJUSTE,SIGMA,TRUE)))</f>
        <v/>
      </c>
      <c r="U567" s="34">
        <f>IF($A567="",NA(),1-T567)</f>
        <v/>
      </c>
    </row>
    <row r="568">
      <c r="C568" s="33" t="n"/>
      <c r="D568" s="33" t="n"/>
      <c r="E568" s="33" t="n"/>
      <c r="F568" s="33" t="n"/>
      <c r="G568" s="33" t="n"/>
      <c r="H568" s="33" t="n"/>
      <c r="I568" s="33" t="n"/>
      <c r="J568" s="33" t="n"/>
      <c r="K568" s="33" t="n"/>
      <c r="L568" s="33" t="n"/>
      <c r="N568" s="34">
        <f>IF($A568="",NA(),IF(C568&gt;0,D568/C568,0))</f>
        <v/>
      </c>
      <c r="O568" s="34">
        <f>IF($A568="",NA(),IF(E568&gt;0,F568/E568,0))</f>
        <v/>
      </c>
      <c r="P568" s="34">
        <f>IF($A568="",NA(),IF(K568+L568&gt;0,K568/(K568+L568),0.5))</f>
        <v/>
      </c>
      <c r="Q568" s="34">
        <f>IF($A568="",NA(),1-P568)</f>
        <v/>
      </c>
      <c r="R568" s="33">
        <f>IF($A568="",NA(),MAX(0,E568-F568)*IF(G568&gt;0,H568/G568,COMPAREC_PAD)*IF(I568&gt;0,J568/I568,VALIDOS_PAD))</f>
        <v/>
      </c>
      <c r="S568" s="34">
        <f>IF($A568="",NA(),IF(R568&gt;0,0.5-(K568-L568)/(2*R568),0))</f>
        <v/>
      </c>
      <c r="T568" s="34">
        <f>IF($A568="",NA(),IF(R568&lt;=0,IF(K568&gt;L568,1,IF(K568&lt;L568,0,0.5)),1-NORMDIST(S568,P568+AJUSTE,SIGMA,TRUE)))</f>
        <v/>
      </c>
      <c r="U568" s="34">
        <f>IF($A568="",NA(),1-T568)</f>
        <v/>
      </c>
    </row>
    <row r="569">
      <c r="C569" s="33" t="n"/>
      <c r="D569" s="33" t="n"/>
      <c r="E569" s="33" t="n"/>
      <c r="F569" s="33" t="n"/>
      <c r="G569" s="33" t="n"/>
      <c r="H569" s="33" t="n"/>
      <c r="I569" s="33" t="n"/>
      <c r="J569" s="33" t="n"/>
      <c r="K569" s="33" t="n"/>
      <c r="L569" s="33" t="n"/>
      <c r="N569" s="34">
        <f>IF($A569="",NA(),IF(C569&gt;0,D569/C569,0))</f>
        <v/>
      </c>
      <c r="O569" s="34">
        <f>IF($A569="",NA(),IF(E569&gt;0,F569/E569,0))</f>
        <v/>
      </c>
      <c r="P569" s="34">
        <f>IF($A569="",NA(),IF(K569+L569&gt;0,K569/(K569+L569),0.5))</f>
        <v/>
      </c>
      <c r="Q569" s="34">
        <f>IF($A569="",NA(),1-P569)</f>
        <v/>
      </c>
      <c r="R569" s="33">
        <f>IF($A569="",NA(),MAX(0,E569-F569)*IF(G569&gt;0,H569/G569,COMPAREC_PAD)*IF(I569&gt;0,J569/I569,VALIDOS_PAD))</f>
        <v/>
      </c>
      <c r="S569" s="34">
        <f>IF($A569="",NA(),IF(R569&gt;0,0.5-(K569-L569)/(2*R569),0))</f>
        <v/>
      </c>
      <c r="T569" s="34">
        <f>IF($A569="",NA(),IF(R569&lt;=0,IF(K569&gt;L569,1,IF(K569&lt;L569,0,0.5)),1-NORMDIST(S569,P569+AJUSTE,SIGMA,TRUE)))</f>
        <v/>
      </c>
      <c r="U569" s="34">
        <f>IF($A569="",NA(),1-T569)</f>
        <v/>
      </c>
    </row>
    <row r="570"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n"/>
      <c r="L570" s="33" t="n"/>
      <c r="N570" s="34">
        <f>IF($A570="",NA(),IF(C570&gt;0,D570/C570,0))</f>
        <v/>
      </c>
      <c r="O570" s="34">
        <f>IF($A570="",NA(),IF(E570&gt;0,F570/E570,0))</f>
        <v/>
      </c>
      <c r="P570" s="34">
        <f>IF($A570="",NA(),IF(K570+L570&gt;0,K570/(K570+L570),0.5))</f>
        <v/>
      </c>
      <c r="Q570" s="34">
        <f>IF($A570="",NA(),1-P570)</f>
        <v/>
      </c>
      <c r="R570" s="33">
        <f>IF($A570="",NA(),MAX(0,E570-F570)*IF(G570&gt;0,H570/G570,COMPAREC_PAD)*IF(I570&gt;0,J570/I570,VALIDOS_PAD))</f>
        <v/>
      </c>
      <c r="S570" s="34">
        <f>IF($A570="",NA(),IF(R570&gt;0,0.5-(K570-L570)/(2*R570),0))</f>
        <v/>
      </c>
      <c r="T570" s="34">
        <f>IF($A570="",NA(),IF(R570&lt;=0,IF(K570&gt;L570,1,IF(K570&lt;L570,0,0.5)),1-NORMDIST(S570,P570+AJUSTE,SIGMA,TRUE)))</f>
        <v/>
      </c>
      <c r="U570" s="34">
        <f>IF($A570="",NA(),1-T570)</f>
        <v/>
      </c>
    </row>
    <row r="571">
      <c r="C571" s="33" t="n"/>
      <c r="D571" s="33" t="n"/>
      <c r="E571" s="33" t="n"/>
      <c r="F571" s="33" t="n"/>
      <c r="G571" s="33" t="n"/>
      <c r="H571" s="33" t="n"/>
      <c r="I571" s="33" t="n"/>
      <c r="J571" s="33" t="n"/>
      <c r="K571" s="33" t="n"/>
      <c r="L571" s="33" t="n"/>
      <c r="N571" s="34">
        <f>IF($A571="",NA(),IF(C571&gt;0,D571/C571,0))</f>
        <v/>
      </c>
      <c r="O571" s="34">
        <f>IF($A571="",NA(),IF(E571&gt;0,F571/E571,0))</f>
        <v/>
      </c>
      <c r="P571" s="34">
        <f>IF($A571="",NA(),IF(K571+L571&gt;0,K571/(K571+L571),0.5))</f>
        <v/>
      </c>
      <c r="Q571" s="34">
        <f>IF($A571="",NA(),1-P571)</f>
        <v/>
      </c>
      <c r="R571" s="33">
        <f>IF($A571="",NA(),MAX(0,E571-F571)*IF(G571&gt;0,H571/G571,COMPAREC_PAD)*IF(I571&gt;0,J571/I571,VALIDOS_PAD))</f>
        <v/>
      </c>
      <c r="S571" s="34">
        <f>IF($A571="",NA(),IF(R571&gt;0,0.5-(K571-L571)/(2*R571),0))</f>
        <v/>
      </c>
      <c r="T571" s="34">
        <f>IF($A571="",NA(),IF(R571&lt;=0,IF(K571&gt;L571,1,IF(K571&lt;L571,0,0.5)),1-NORMDIST(S571,P571+AJUSTE,SIGMA,TRUE)))</f>
        <v/>
      </c>
      <c r="U571" s="34">
        <f>IF($A571="",NA(),1-T571)</f>
        <v/>
      </c>
    </row>
    <row r="572"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3" t="n"/>
      <c r="N572" s="34">
        <f>IF($A572="",NA(),IF(C572&gt;0,D572/C572,0))</f>
        <v/>
      </c>
      <c r="O572" s="34">
        <f>IF($A572="",NA(),IF(E572&gt;0,F572/E572,0))</f>
        <v/>
      </c>
      <c r="P572" s="34">
        <f>IF($A572="",NA(),IF(K572+L572&gt;0,K572/(K572+L572),0.5))</f>
        <v/>
      </c>
      <c r="Q572" s="34">
        <f>IF($A572="",NA(),1-P572)</f>
        <v/>
      </c>
      <c r="R572" s="33">
        <f>IF($A572="",NA(),MAX(0,E572-F572)*IF(G572&gt;0,H572/G572,COMPAREC_PAD)*IF(I572&gt;0,J572/I572,VALIDOS_PAD))</f>
        <v/>
      </c>
      <c r="S572" s="34">
        <f>IF($A572="",NA(),IF(R572&gt;0,0.5-(K572-L572)/(2*R572),0))</f>
        <v/>
      </c>
      <c r="T572" s="34">
        <f>IF($A572="",NA(),IF(R572&lt;=0,IF(K572&gt;L572,1,IF(K572&lt;L572,0,0.5)),1-NORMDIST(S572,P572+AJUSTE,SIGMA,TRUE)))</f>
        <v/>
      </c>
      <c r="U572" s="34">
        <f>IF($A572="",NA(),1-T572)</f>
        <v/>
      </c>
    </row>
    <row r="573">
      <c r="C573" s="33" t="n"/>
      <c r="D573" s="33" t="n"/>
      <c r="E573" s="33" t="n"/>
      <c r="F573" s="33" t="n"/>
      <c r="G573" s="33" t="n"/>
      <c r="H573" s="33" t="n"/>
      <c r="I573" s="33" t="n"/>
      <c r="J573" s="33" t="n"/>
      <c r="K573" s="33" t="n"/>
      <c r="L573" s="33" t="n"/>
      <c r="N573" s="34">
        <f>IF($A573="",NA(),IF(C573&gt;0,D573/C573,0))</f>
        <v/>
      </c>
      <c r="O573" s="34">
        <f>IF($A573="",NA(),IF(E573&gt;0,F573/E573,0))</f>
        <v/>
      </c>
      <c r="P573" s="34">
        <f>IF($A573="",NA(),IF(K573+L573&gt;0,K573/(K573+L573),0.5))</f>
        <v/>
      </c>
      <c r="Q573" s="34">
        <f>IF($A573="",NA(),1-P573)</f>
        <v/>
      </c>
      <c r="R573" s="33">
        <f>IF($A573="",NA(),MAX(0,E573-F573)*IF(G573&gt;0,H573/G573,COMPAREC_PAD)*IF(I573&gt;0,J573/I573,VALIDOS_PAD))</f>
        <v/>
      </c>
      <c r="S573" s="34">
        <f>IF($A573="",NA(),IF(R573&gt;0,0.5-(K573-L573)/(2*R573),0))</f>
        <v/>
      </c>
      <c r="T573" s="34">
        <f>IF($A573="",NA(),IF(R573&lt;=0,IF(K573&gt;L573,1,IF(K573&lt;L573,0,0.5)),1-NORMDIST(S573,P573+AJUSTE,SIGMA,TRUE)))</f>
        <v/>
      </c>
      <c r="U573" s="34">
        <f>IF($A573="",NA(),1-T573)</f>
        <v/>
      </c>
    </row>
    <row r="574"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3" t="n"/>
      <c r="N574" s="34">
        <f>IF($A574="",NA(),IF(C574&gt;0,D574/C574,0))</f>
        <v/>
      </c>
      <c r="O574" s="34">
        <f>IF($A574="",NA(),IF(E574&gt;0,F574/E574,0))</f>
        <v/>
      </c>
      <c r="P574" s="34">
        <f>IF($A574="",NA(),IF(K574+L574&gt;0,K574/(K574+L574),0.5))</f>
        <v/>
      </c>
      <c r="Q574" s="34">
        <f>IF($A574="",NA(),1-P574)</f>
        <v/>
      </c>
      <c r="R574" s="33">
        <f>IF($A574="",NA(),MAX(0,E574-F574)*IF(G574&gt;0,H574/G574,COMPAREC_PAD)*IF(I574&gt;0,J574/I574,VALIDOS_PAD))</f>
        <v/>
      </c>
      <c r="S574" s="34">
        <f>IF($A574="",NA(),IF(R574&gt;0,0.5-(K574-L574)/(2*R574),0))</f>
        <v/>
      </c>
      <c r="T574" s="34">
        <f>IF($A574="",NA(),IF(R574&lt;=0,IF(K574&gt;L574,1,IF(K574&lt;L574,0,0.5)),1-NORMDIST(S574,P574+AJUSTE,SIGMA,TRUE)))</f>
        <v/>
      </c>
      <c r="U574" s="34">
        <f>IF($A574="",NA(),1-T574)</f>
        <v/>
      </c>
    </row>
    <row r="575">
      <c r="C575" s="33" t="n"/>
      <c r="D575" s="33" t="n"/>
      <c r="E575" s="33" t="n"/>
      <c r="F575" s="33" t="n"/>
      <c r="G575" s="33" t="n"/>
      <c r="H575" s="33" t="n"/>
      <c r="I575" s="33" t="n"/>
      <c r="J575" s="33" t="n"/>
      <c r="K575" s="33" t="n"/>
      <c r="L575" s="33" t="n"/>
      <c r="N575" s="34">
        <f>IF($A575="",NA(),IF(C575&gt;0,D575/C575,0))</f>
        <v/>
      </c>
      <c r="O575" s="34">
        <f>IF($A575="",NA(),IF(E575&gt;0,F575/E575,0))</f>
        <v/>
      </c>
      <c r="P575" s="34">
        <f>IF($A575="",NA(),IF(K575+L575&gt;0,K575/(K575+L575),0.5))</f>
        <v/>
      </c>
      <c r="Q575" s="34">
        <f>IF($A575="",NA(),1-P575)</f>
        <v/>
      </c>
      <c r="R575" s="33">
        <f>IF($A575="",NA(),MAX(0,E575-F575)*IF(G575&gt;0,H575/G575,COMPAREC_PAD)*IF(I575&gt;0,J575/I575,VALIDOS_PAD))</f>
        <v/>
      </c>
      <c r="S575" s="34">
        <f>IF($A575="",NA(),IF(R575&gt;0,0.5-(K575-L575)/(2*R575),0))</f>
        <v/>
      </c>
      <c r="T575" s="34">
        <f>IF($A575="",NA(),IF(R575&lt;=0,IF(K575&gt;L575,1,IF(K575&lt;L575,0,0.5)),1-NORMDIST(S575,P575+AJUSTE,SIGMA,TRUE)))</f>
        <v/>
      </c>
      <c r="U575" s="34">
        <f>IF($A575="",NA(),1-T575)</f>
        <v/>
      </c>
    </row>
    <row r="576"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3" t="n"/>
      <c r="N576" s="34">
        <f>IF($A576="",NA(),IF(C576&gt;0,D576/C576,0))</f>
        <v/>
      </c>
      <c r="O576" s="34">
        <f>IF($A576="",NA(),IF(E576&gt;0,F576/E576,0))</f>
        <v/>
      </c>
      <c r="P576" s="34">
        <f>IF($A576="",NA(),IF(K576+L576&gt;0,K576/(K576+L576),0.5))</f>
        <v/>
      </c>
      <c r="Q576" s="34">
        <f>IF($A576="",NA(),1-P576)</f>
        <v/>
      </c>
      <c r="R576" s="33">
        <f>IF($A576="",NA(),MAX(0,E576-F576)*IF(G576&gt;0,H576/G576,COMPAREC_PAD)*IF(I576&gt;0,J576/I576,VALIDOS_PAD))</f>
        <v/>
      </c>
      <c r="S576" s="34">
        <f>IF($A576="",NA(),IF(R576&gt;0,0.5-(K576-L576)/(2*R576),0))</f>
        <v/>
      </c>
      <c r="T576" s="34">
        <f>IF($A576="",NA(),IF(R576&lt;=0,IF(K576&gt;L576,1,IF(K576&lt;L576,0,0.5)),1-NORMDIST(S576,P576+AJUSTE,SIGMA,TRUE)))</f>
        <v/>
      </c>
      <c r="U576" s="34">
        <f>IF($A576="",NA(),1-T576)</f>
        <v/>
      </c>
    </row>
    <row r="577"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n"/>
      <c r="L577" s="33" t="n"/>
      <c r="N577" s="34">
        <f>IF($A577="",NA(),IF(C577&gt;0,D577/C577,0))</f>
        <v/>
      </c>
      <c r="O577" s="34">
        <f>IF($A577="",NA(),IF(E577&gt;0,F577/E577,0))</f>
        <v/>
      </c>
      <c r="P577" s="34">
        <f>IF($A577="",NA(),IF(K577+L577&gt;0,K577/(K577+L577),0.5))</f>
        <v/>
      </c>
      <c r="Q577" s="34">
        <f>IF($A577="",NA(),1-P577)</f>
        <v/>
      </c>
      <c r="R577" s="33">
        <f>IF($A577="",NA(),MAX(0,E577-F577)*IF(G577&gt;0,H577/G577,COMPAREC_PAD)*IF(I577&gt;0,J577/I577,VALIDOS_PAD))</f>
        <v/>
      </c>
      <c r="S577" s="34">
        <f>IF($A577="",NA(),IF(R577&gt;0,0.5-(K577-L577)/(2*R577),0))</f>
        <v/>
      </c>
      <c r="T577" s="34">
        <f>IF($A577="",NA(),IF(R577&lt;=0,IF(K577&gt;L577,1,IF(K577&lt;L577,0,0.5)),1-NORMDIST(S577,P577+AJUSTE,SIGMA,TRUE)))</f>
        <v/>
      </c>
      <c r="U577" s="34">
        <f>IF($A577="",NA(),1-T577)</f>
        <v/>
      </c>
    </row>
    <row r="578"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3" t="n"/>
      <c r="N578" s="34">
        <f>IF($A578="",NA(),IF(C578&gt;0,D578/C578,0))</f>
        <v/>
      </c>
      <c r="O578" s="34">
        <f>IF($A578="",NA(),IF(E578&gt;0,F578/E578,0))</f>
        <v/>
      </c>
      <c r="P578" s="34">
        <f>IF($A578="",NA(),IF(K578+L578&gt;0,K578/(K578+L578),0.5))</f>
        <v/>
      </c>
      <c r="Q578" s="34">
        <f>IF($A578="",NA(),1-P578)</f>
        <v/>
      </c>
      <c r="R578" s="33">
        <f>IF($A578="",NA(),MAX(0,E578-F578)*IF(G578&gt;0,H578/G578,COMPAREC_PAD)*IF(I578&gt;0,J578/I578,VALIDOS_PAD))</f>
        <v/>
      </c>
      <c r="S578" s="34">
        <f>IF($A578="",NA(),IF(R578&gt;0,0.5-(K578-L578)/(2*R578),0))</f>
        <v/>
      </c>
      <c r="T578" s="34">
        <f>IF($A578="",NA(),IF(R578&lt;=0,IF(K578&gt;L578,1,IF(K578&lt;L578,0,0.5)),1-NORMDIST(S578,P578+AJUSTE,SIGMA,TRUE)))</f>
        <v/>
      </c>
      <c r="U578" s="34">
        <f>IF($A578="",NA(),1-T578)</f>
        <v/>
      </c>
    </row>
    <row r="579">
      <c r="C579" s="33" t="n"/>
      <c r="D579" s="33" t="n"/>
      <c r="E579" s="33" t="n"/>
      <c r="F579" s="33" t="n"/>
      <c r="G579" s="33" t="n"/>
      <c r="H579" s="33" t="n"/>
      <c r="I579" s="33" t="n"/>
      <c r="J579" s="33" t="n"/>
      <c r="K579" s="33" t="n"/>
      <c r="L579" s="33" t="n"/>
      <c r="N579" s="34">
        <f>IF($A579="",NA(),IF(C579&gt;0,D579/C579,0))</f>
        <v/>
      </c>
      <c r="O579" s="34">
        <f>IF($A579="",NA(),IF(E579&gt;0,F579/E579,0))</f>
        <v/>
      </c>
      <c r="P579" s="34">
        <f>IF($A579="",NA(),IF(K579+L579&gt;0,K579/(K579+L579),0.5))</f>
        <v/>
      </c>
      <c r="Q579" s="34">
        <f>IF($A579="",NA(),1-P579)</f>
        <v/>
      </c>
      <c r="R579" s="33">
        <f>IF($A579="",NA(),MAX(0,E579-F579)*IF(G579&gt;0,H579/G579,COMPAREC_PAD)*IF(I579&gt;0,J579/I579,VALIDOS_PAD))</f>
        <v/>
      </c>
      <c r="S579" s="34">
        <f>IF($A579="",NA(),IF(R579&gt;0,0.5-(K579-L579)/(2*R579),0))</f>
        <v/>
      </c>
      <c r="T579" s="34">
        <f>IF($A579="",NA(),IF(R579&lt;=0,IF(K579&gt;L579,1,IF(K579&lt;L579,0,0.5)),1-NORMDIST(S579,P579+AJUSTE,SIGMA,TRUE)))</f>
        <v/>
      </c>
      <c r="U579" s="34">
        <f>IF($A579="",NA(),1-T579)</f>
        <v/>
      </c>
    </row>
    <row r="580"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3" t="n"/>
      <c r="N580" s="34">
        <f>IF($A580="",NA(),IF(C580&gt;0,D580/C580,0))</f>
        <v/>
      </c>
      <c r="O580" s="34">
        <f>IF($A580="",NA(),IF(E580&gt;0,F580/E580,0))</f>
        <v/>
      </c>
      <c r="P580" s="34">
        <f>IF($A580="",NA(),IF(K580+L580&gt;0,K580/(K580+L580),0.5))</f>
        <v/>
      </c>
      <c r="Q580" s="34">
        <f>IF($A580="",NA(),1-P580)</f>
        <v/>
      </c>
      <c r="R580" s="33">
        <f>IF($A580="",NA(),MAX(0,E580-F580)*IF(G580&gt;0,H580/G580,COMPAREC_PAD)*IF(I580&gt;0,J580/I580,VALIDOS_PAD))</f>
        <v/>
      </c>
      <c r="S580" s="34">
        <f>IF($A580="",NA(),IF(R580&gt;0,0.5-(K580-L580)/(2*R580),0))</f>
        <v/>
      </c>
      <c r="T580" s="34">
        <f>IF($A580="",NA(),IF(R580&lt;=0,IF(K580&gt;L580,1,IF(K580&lt;L580,0,0.5)),1-NORMDIST(S580,P580+AJUSTE,SIGMA,TRUE)))</f>
        <v/>
      </c>
      <c r="U580" s="34">
        <f>IF($A580="",NA(),1-T580)</f>
        <v/>
      </c>
    </row>
    <row r="581">
      <c r="C581" s="33" t="n"/>
      <c r="D581" s="33" t="n"/>
      <c r="E581" s="33" t="n"/>
      <c r="F581" s="33" t="n"/>
      <c r="G581" s="33" t="n"/>
      <c r="H581" s="33" t="n"/>
      <c r="I581" s="33" t="n"/>
      <c r="J581" s="33" t="n"/>
      <c r="K581" s="33" t="n"/>
      <c r="L581" s="33" t="n"/>
      <c r="N581" s="34">
        <f>IF($A581="",NA(),IF(C581&gt;0,D581/C581,0))</f>
        <v/>
      </c>
      <c r="O581" s="34">
        <f>IF($A581="",NA(),IF(E581&gt;0,F581/E581,0))</f>
        <v/>
      </c>
      <c r="P581" s="34">
        <f>IF($A581="",NA(),IF(K581+L581&gt;0,K581/(K581+L581),0.5))</f>
        <v/>
      </c>
      <c r="Q581" s="34">
        <f>IF($A581="",NA(),1-P581)</f>
        <v/>
      </c>
      <c r="R581" s="33">
        <f>IF($A581="",NA(),MAX(0,E581-F581)*IF(G581&gt;0,H581/G581,COMPAREC_PAD)*IF(I581&gt;0,J581/I581,VALIDOS_PAD))</f>
        <v/>
      </c>
      <c r="S581" s="34">
        <f>IF($A581="",NA(),IF(R581&gt;0,0.5-(K581-L581)/(2*R581),0))</f>
        <v/>
      </c>
      <c r="T581" s="34">
        <f>IF($A581="",NA(),IF(R581&lt;=0,IF(K581&gt;L581,1,IF(K581&lt;L581,0,0.5)),1-NORMDIST(S581,P581+AJUSTE,SIGMA,TRUE)))</f>
        <v/>
      </c>
      <c r="U581" s="34">
        <f>IF($A581="",NA(),1-T581)</f>
        <v/>
      </c>
    </row>
    <row r="582"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3" t="n"/>
      <c r="N582" s="34">
        <f>IF($A582="",NA(),IF(C582&gt;0,D582/C582,0))</f>
        <v/>
      </c>
      <c r="O582" s="34">
        <f>IF($A582="",NA(),IF(E582&gt;0,F582/E582,0))</f>
        <v/>
      </c>
      <c r="P582" s="34">
        <f>IF($A582="",NA(),IF(K582+L582&gt;0,K582/(K582+L582),0.5))</f>
        <v/>
      </c>
      <c r="Q582" s="34">
        <f>IF($A582="",NA(),1-P582)</f>
        <v/>
      </c>
      <c r="R582" s="33">
        <f>IF($A582="",NA(),MAX(0,E582-F582)*IF(G582&gt;0,H582/G582,COMPAREC_PAD)*IF(I582&gt;0,J582/I582,VALIDOS_PAD))</f>
        <v/>
      </c>
      <c r="S582" s="34">
        <f>IF($A582="",NA(),IF(R582&gt;0,0.5-(K582-L582)/(2*R582),0))</f>
        <v/>
      </c>
      <c r="T582" s="34">
        <f>IF($A582="",NA(),IF(R582&lt;=0,IF(K582&gt;L582,1,IF(K582&lt;L582,0,0.5)),1-NORMDIST(S582,P582+AJUSTE,SIGMA,TRUE)))</f>
        <v/>
      </c>
      <c r="U582" s="34">
        <f>IF($A582="",NA(),1-T582)</f>
        <v/>
      </c>
    </row>
    <row r="583">
      <c r="C583" s="33" t="n"/>
      <c r="D583" s="33" t="n"/>
      <c r="E583" s="33" t="n"/>
      <c r="F583" s="33" t="n"/>
      <c r="G583" s="33" t="n"/>
      <c r="H583" s="33" t="n"/>
      <c r="I583" s="33" t="n"/>
      <c r="J583" s="33" t="n"/>
      <c r="K583" s="33" t="n"/>
      <c r="L583" s="33" t="n"/>
      <c r="N583" s="34">
        <f>IF($A583="",NA(),IF(C583&gt;0,D583/C583,0))</f>
        <v/>
      </c>
      <c r="O583" s="34">
        <f>IF($A583="",NA(),IF(E583&gt;0,F583/E583,0))</f>
        <v/>
      </c>
      <c r="P583" s="34">
        <f>IF($A583="",NA(),IF(K583+L583&gt;0,K583/(K583+L583),0.5))</f>
        <v/>
      </c>
      <c r="Q583" s="34">
        <f>IF($A583="",NA(),1-P583)</f>
        <v/>
      </c>
      <c r="R583" s="33">
        <f>IF($A583="",NA(),MAX(0,E583-F583)*IF(G583&gt;0,H583/G583,COMPAREC_PAD)*IF(I583&gt;0,J583/I583,VALIDOS_PAD))</f>
        <v/>
      </c>
      <c r="S583" s="34">
        <f>IF($A583="",NA(),IF(R583&gt;0,0.5-(K583-L583)/(2*R583),0))</f>
        <v/>
      </c>
      <c r="T583" s="34">
        <f>IF($A583="",NA(),IF(R583&lt;=0,IF(K583&gt;L583,1,IF(K583&lt;L583,0,0.5)),1-NORMDIST(S583,P583+AJUSTE,SIGMA,TRUE)))</f>
        <v/>
      </c>
      <c r="U583" s="34">
        <f>IF($A583="",NA(),1-T583)</f>
        <v/>
      </c>
    </row>
    <row r="584"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3" t="n"/>
      <c r="N584" s="34">
        <f>IF($A584="",NA(),IF(C584&gt;0,D584/C584,0))</f>
        <v/>
      </c>
      <c r="O584" s="34">
        <f>IF($A584="",NA(),IF(E584&gt;0,F584/E584,0))</f>
        <v/>
      </c>
      <c r="P584" s="34">
        <f>IF($A584="",NA(),IF(K584+L584&gt;0,K584/(K584+L584),0.5))</f>
        <v/>
      </c>
      <c r="Q584" s="34">
        <f>IF($A584="",NA(),1-P584)</f>
        <v/>
      </c>
      <c r="R584" s="33">
        <f>IF($A584="",NA(),MAX(0,E584-F584)*IF(G584&gt;0,H584/G584,COMPAREC_PAD)*IF(I584&gt;0,J584/I584,VALIDOS_PAD))</f>
        <v/>
      </c>
      <c r="S584" s="34">
        <f>IF($A584="",NA(),IF(R584&gt;0,0.5-(K584-L584)/(2*R584),0))</f>
        <v/>
      </c>
      <c r="T584" s="34">
        <f>IF($A584="",NA(),IF(R584&lt;=0,IF(K584&gt;L584,1,IF(K584&lt;L584,0,0.5)),1-NORMDIST(S584,P584+AJUSTE,SIGMA,TRUE)))</f>
        <v/>
      </c>
      <c r="U584" s="34">
        <f>IF($A584="",NA(),1-T584)</f>
        <v/>
      </c>
    </row>
    <row r="585">
      <c r="C585" s="33" t="n"/>
      <c r="D585" s="33" t="n"/>
      <c r="E585" s="33" t="n"/>
      <c r="F585" s="33" t="n"/>
      <c r="G585" s="33" t="n"/>
      <c r="H585" s="33" t="n"/>
      <c r="I585" s="33" t="n"/>
      <c r="J585" s="33" t="n"/>
      <c r="K585" s="33" t="n"/>
      <c r="L585" s="33" t="n"/>
      <c r="N585" s="34">
        <f>IF($A585="",NA(),IF(C585&gt;0,D585/C585,0))</f>
        <v/>
      </c>
      <c r="O585" s="34">
        <f>IF($A585="",NA(),IF(E585&gt;0,F585/E585,0))</f>
        <v/>
      </c>
      <c r="P585" s="34">
        <f>IF($A585="",NA(),IF(K585+L585&gt;0,K585/(K585+L585),0.5))</f>
        <v/>
      </c>
      <c r="Q585" s="34">
        <f>IF($A585="",NA(),1-P585)</f>
        <v/>
      </c>
      <c r="R585" s="33">
        <f>IF($A585="",NA(),MAX(0,E585-F585)*IF(G585&gt;0,H585/G585,COMPAREC_PAD)*IF(I585&gt;0,J585/I585,VALIDOS_PAD))</f>
        <v/>
      </c>
      <c r="S585" s="34">
        <f>IF($A585="",NA(),IF(R585&gt;0,0.5-(K585-L585)/(2*R585),0))</f>
        <v/>
      </c>
      <c r="T585" s="34">
        <f>IF($A585="",NA(),IF(R585&lt;=0,IF(K585&gt;L585,1,IF(K585&lt;L585,0,0.5)),1-NORMDIST(S585,P585+AJUSTE,SIGMA,TRUE)))</f>
        <v/>
      </c>
      <c r="U585" s="34">
        <f>IF($A585="",NA(),1-T585)</f>
        <v/>
      </c>
    </row>
    <row r="586"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3" t="n"/>
      <c r="N586" s="34">
        <f>IF($A586="",NA(),IF(C586&gt;0,D586/C586,0))</f>
        <v/>
      </c>
      <c r="O586" s="34">
        <f>IF($A586="",NA(),IF(E586&gt;0,F586/E586,0))</f>
        <v/>
      </c>
      <c r="P586" s="34">
        <f>IF($A586="",NA(),IF(K586+L586&gt;0,K586/(K586+L586),0.5))</f>
        <v/>
      </c>
      <c r="Q586" s="34">
        <f>IF($A586="",NA(),1-P586)</f>
        <v/>
      </c>
      <c r="R586" s="33">
        <f>IF($A586="",NA(),MAX(0,E586-F586)*IF(G586&gt;0,H586/G586,COMPAREC_PAD)*IF(I586&gt;0,J586/I586,VALIDOS_PAD))</f>
        <v/>
      </c>
      <c r="S586" s="34">
        <f>IF($A586="",NA(),IF(R586&gt;0,0.5-(K586-L586)/(2*R586),0))</f>
        <v/>
      </c>
      <c r="T586" s="34">
        <f>IF($A586="",NA(),IF(R586&lt;=0,IF(K586&gt;L586,1,IF(K586&lt;L586,0,0.5)),1-NORMDIST(S586,P586+AJUSTE,SIGMA,TRUE)))</f>
        <v/>
      </c>
      <c r="U586" s="34">
        <f>IF($A586="",NA(),1-T586)</f>
        <v/>
      </c>
    </row>
    <row r="587"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n"/>
      <c r="L587" s="33" t="n"/>
      <c r="N587" s="34">
        <f>IF($A587="",NA(),IF(C587&gt;0,D587/C587,0))</f>
        <v/>
      </c>
      <c r="O587" s="34">
        <f>IF($A587="",NA(),IF(E587&gt;0,F587/E587,0))</f>
        <v/>
      </c>
      <c r="P587" s="34">
        <f>IF($A587="",NA(),IF(K587+L587&gt;0,K587/(K587+L587),0.5))</f>
        <v/>
      </c>
      <c r="Q587" s="34">
        <f>IF($A587="",NA(),1-P587)</f>
        <v/>
      </c>
      <c r="R587" s="33">
        <f>IF($A587="",NA(),MAX(0,E587-F587)*IF(G587&gt;0,H587/G587,COMPAREC_PAD)*IF(I587&gt;0,J587/I587,VALIDOS_PAD))</f>
        <v/>
      </c>
      <c r="S587" s="34">
        <f>IF($A587="",NA(),IF(R587&gt;0,0.5-(K587-L587)/(2*R587),0))</f>
        <v/>
      </c>
      <c r="T587" s="34">
        <f>IF($A587="",NA(),IF(R587&lt;=0,IF(K587&gt;L587,1,IF(K587&lt;L587,0,0.5)),1-NORMDIST(S587,P587+AJUSTE,SIGMA,TRUE)))</f>
        <v/>
      </c>
      <c r="U587" s="34">
        <f>IF($A587="",NA(),1-T587)</f>
        <v/>
      </c>
    </row>
    <row r="588"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3" t="n"/>
      <c r="N588" s="34">
        <f>IF($A588="",NA(),IF(C588&gt;0,D588/C588,0))</f>
        <v/>
      </c>
      <c r="O588" s="34">
        <f>IF($A588="",NA(),IF(E588&gt;0,F588/E588,0))</f>
        <v/>
      </c>
      <c r="P588" s="34">
        <f>IF($A588="",NA(),IF(K588+L588&gt;0,K588/(K588+L588),0.5))</f>
        <v/>
      </c>
      <c r="Q588" s="34">
        <f>IF($A588="",NA(),1-P588)</f>
        <v/>
      </c>
      <c r="R588" s="33">
        <f>IF($A588="",NA(),MAX(0,E588-F588)*IF(G588&gt;0,H588/G588,COMPAREC_PAD)*IF(I588&gt;0,J588/I588,VALIDOS_PAD))</f>
        <v/>
      </c>
      <c r="S588" s="34">
        <f>IF($A588="",NA(),IF(R588&gt;0,0.5-(K588-L588)/(2*R588),0))</f>
        <v/>
      </c>
      <c r="T588" s="34">
        <f>IF($A588="",NA(),IF(R588&lt;=0,IF(K588&gt;L588,1,IF(K588&lt;L588,0,0.5)),1-NORMDIST(S588,P588+AJUSTE,SIGMA,TRUE)))</f>
        <v/>
      </c>
      <c r="U588" s="34">
        <f>IF($A588="",NA(),1-T588)</f>
        <v/>
      </c>
    </row>
    <row r="589">
      <c r="C589" s="33" t="n"/>
      <c r="D589" s="33" t="n"/>
      <c r="E589" s="33" t="n"/>
      <c r="F589" s="33" t="n"/>
      <c r="G589" s="33" t="n"/>
      <c r="H589" s="33" t="n"/>
      <c r="I589" s="33" t="n"/>
      <c r="J589" s="33" t="n"/>
      <c r="K589" s="33" t="n"/>
      <c r="L589" s="33" t="n"/>
      <c r="N589" s="34">
        <f>IF($A589="",NA(),IF(C589&gt;0,D589/C589,0))</f>
        <v/>
      </c>
      <c r="O589" s="34">
        <f>IF($A589="",NA(),IF(E589&gt;0,F589/E589,0))</f>
        <v/>
      </c>
      <c r="P589" s="34">
        <f>IF($A589="",NA(),IF(K589+L589&gt;0,K589/(K589+L589),0.5))</f>
        <v/>
      </c>
      <c r="Q589" s="34">
        <f>IF($A589="",NA(),1-P589)</f>
        <v/>
      </c>
      <c r="R589" s="33">
        <f>IF($A589="",NA(),MAX(0,E589-F589)*IF(G589&gt;0,H589/G589,COMPAREC_PAD)*IF(I589&gt;0,J589/I589,VALIDOS_PAD))</f>
        <v/>
      </c>
      <c r="S589" s="34">
        <f>IF($A589="",NA(),IF(R589&gt;0,0.5-(K589-L589)/(2*R589),0))</f>
        <v/>
      </c>
      <c r="T589" s="34">
        <f>IF($A589="",NA(),IF(R589&lt;=0,IF(K589&gt;L589,1,IF(K589&lt;L589,0,0.5)),1-NORMDIST(S589,P589+AJUSTE,SIGMA,TRUE)))</f>
        <v/>
      </c>
      <c r="U589" s="34">
        <f>IF($A589="",NA(),1-T589)</f>
        <v/>
      </c>
    </row>
    <row r="590"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3" t="n"/>
      <c r="N590" s="34">
        <f>IF($A590="",NA(),IF(C590&gt;0,D590/C590,0))</f>
        <v/>
      </c>
      <c r="O590" s="34">
        <f>IF($A590="",NA(),IF(E590&gt;0,F590/E590,0))</f>
        <v/>
      </c>
      <c r="P590" s="34">
        <f>IF($A590="",NA(),IF(K590+L590&gt;0,K590/(K590+L590),0.5))</f>
        <v/>
      </c>
      <c r="Q590" s="34">
        <f>IF($A590="",NA(),1-P590)</f>
        <v/>
      </c>
      <c r="R590" s="33">
        <f>IF($A590="",NA(),MAX(0,E590-F590)*IF(G590&gt;0,H590/G590,COMPAREC_PAD)*IF(I590&gt;0,J590/I590,VALIDOS_PAD))</f>
        <v/>
      </c>
      <c r="S590" s="34">
        <f>IF($A590="",NA(),IF(R590&gt;0,0.5-(K590-L590)/(2*R590),0))</f>
        <v/>
      </c>
      <c r="T590" s="34">
        <f>IF($A590="",NA(),IF(R590&lt;=0,IF(K590&gt;L590,1,IF(K590&lt;L590,0,0.5)),1-NORMDIST(S590,P590+AJUSTE,SIGMA,TRUE)))</f>
        <v/>
      </c>
      <c r="U590" s="34">
        <f>IF($A590="",NA(),1-T590)</f>
        <v/>
      </c>
    </row>
    <row r="591"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n"/>
      <c r="L591" s="33" t="n"/>
      <c r="N591" s="34">
        <f>IF($A591="",NA(),IF(C591&gt;0,D591/C591,0))</f>
        <v/>
      </c>
      <c r="O591" s="34">
        <f>IF($A591="",NA(),IF(E591&gt;0,F591/E591,0))</f>
        <v/>
      </c>
      <c r="P591" s="34">
        <f>IF($A591="",NA(),IF(K591+L591&gt;0,K591/(K591+L591),0.5))</f>
        <v/>
      </c>
      <c r="Q591" s="34">
        <f>IF($A591="",NA(),1-P591)</f>
        <v/>
      </c>
      <c r="R591" s="33">
        <f>IF($A591="",NA(),MAX(0,E591-F591)*IF(G591&gt;0,H591/G591,COMPAREC_PAD)*IF(I591&gt;0,J591/I591,VALIDOS_PAD))</f>
        <v/>
      </c>
      <c r="S591" s="34">
        <f>IF($A591="",NA(),IF(R591&gt;0,0.5-(K591-L591)/(2*R591),0))</f>
        <v/>
      </c>
      <c r="T591" s="34">
        <f>IF($A591="",NA(),IF(R591&lt;=0,IF(K591&gt;L591,1,IF(K591&lt;L591,0,0.5)),1-NORMDIST(S591,P591+AJUSTE,SIGMA,TRUE)))</f>
        <v/>
      </c>
      <c r="U591" s="34">
        <f>IF($A591="",NA(),1-T591)</f>
        <v/>
      </c>
    </row>
    <row r="592"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3" t="n"/>
      <c r="N592" s="34">
        <f>IF($A592="",NA(),IF(C592&gt;0,D592/C592,0))</f>
        <v/>
      </c>
      <c r="O592" s="34">
        <f>IF($A592="",NA(),IF(E592&gt;0,F592/E592,0))</f>
        <v/>
      </c>
      <c r="P592" s="34">
        <f>IF($A592="",NA(),IF(K592+L592&gt;0,K592/(K592+L592),0.5))</f>
        <v/>
      </c>
      <c r="Q592" s="34">
        <f>IF($A592="",NA(),1-P592)</f>
        <v/>
      </c>
      <c r="R592" s="33">
        <f>IF($A592="",NA(),MAX(0,E592-F592)*IF(G592&gt;0,H592/G592,COMPAREC_PAD)*IF(I592&gt;0,J592/I592,VALIDOS_PAD))</f>
        <v/>
      </c>
      <c r="S592" s="34">
        <f>IF($A592="",NA(),IF(R592&gt;0,0.5-(K592-L592)/(2*R592),0))</f>
        <v/>
      </c>
      <c r="T592" s="34">
        <f>IF($A592="",NA(),IF(R592&lt;=0,IF(K592&gt;L592,1,IF(K592&lt;L592,0,0.5)),1-NORMDIST(S592,P592+AJUSTE,SIGMA,TRUE)))</f>
        <v/>
      </c>
      <c r="U592" s="34">
        <f>IF($A592="",NA(),1-T592)</f>
        <v/>
      </c>
    </row>
    <row r="593">
      <c r="C593" s="33" t="n"/>
      <c r="D593" s="33" t="n"/>
      <c r="E593" s="33" t="n"/>
      <c r="F593" s="33" t="n"/>
      <c r="G593" s="33" t="n"/>
      <c r="H593" s="33" t="n"/>
      <c r="I593" s="33" t="n"/>
      <c r="J593" s="33" t="n"/>
      <c r="K593" s="33" t="n"/>
      <c r="L593" s="33" t="n"/>
      <c r="N593" s="34">
        <f>IF($A593="",NA(),IF(C593&gt;0,D593/C593,0))</f>
        <v/>
      </c>
      <c r="O593" s="34">
        <f>IF($A593="",NA(),IF(E593&gt;0,F593/E593,0))</f>
        <v/>
      </c>
      <c r="P593" s="34">
        <f>IF($A593="",NA(),IF(K593+L593&gt;0,K593/(K593+L593),0.5))</f>
        <v/>
      </c>
      <c r="Q593" s="34">
        <f>IF($A593="",NA(),1-P593)</f>
        <v/>
      </c>
      <c r="R593" s="33">
        <f>IF($A593="",NA(),MAX(0,E593-F593)*IF(G593&gt;0,H593/G593,COMPAREC_PAD)*IF(I593&gt;0,J593/I593,VALIDOS_PAD))</f>
        <v/>
      </c>
      <c r="S593" s="34">
        <f>IF($A593="",NA(),IF(R593&gt;0,0.5-(K593-L593)/(2*R593),0))</f>
        <v/>
      </c>
      <c r="T593" s="34">
        <f>IF($A593="",NA(),IF(R593&lt;=0,IF(K593&gt;L593,1,IF(K593&lt;L593,0,0.5)),1-NORMDIST(S593,P593+AJUSTE,SIGMA,TRUE)))</f>
        <v/>
      </c>
      <c r="U593" s="34">
        <f>IF($A593="",NA(),1-T593)</f>
        <v/>
      </c>
    </row>
    <row r="594"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3" t="n"/>
      <c r="N594" s="34">
        <f>IF($A594="",NA(),IF(C594&gt;0,D594/C594,0))</f>
        <v/>
      </c>
      <c r="O594" s="34">
        <f>IF($A594="",NA(),IF(E594&gt;0,F594/E594,0))</f>
        <v/>
      </c>
      <c r="P594" s="34">
        <f>IF($A594="",NA(),IF(K594+L594&gt;0,K594/(K594+L594),0.5))</f>
        <v/>
      </c>
      <c r="Q594" s="34">
        <f>IF($A594="",NA(),1-P594)</f>
        <v/>
      </c>
      <c r="R594" s="33">
        <f>IF($A594="",NA(),MAX(0,E594-F594)*IF(G594&gt;0,H594/G594,COMPAREC_PAD)*IF(I594&gt;0,J594/I594,VALIDOS_PAD))</f>
        <v/>
      </c>
      <c r="S594" s="34">
        <f>IF($A594="",NA(),IF(R594&gt;0,0.5-(K594-L594)/(2*R594),0))</f>
        <v/>
      </c>
      <c r="T594" s="34">
        <f>IF($A594="",NA(),IF(R594&lt;=0,IF(K594&gt;L594,1,IF(K594&lt;L594,0,0.5)),1-NORMDIST(S594,P594+AJUSTE,SIGMA,TRUE)))</f>
        <v/>
      </c>
      <c r="U594" s="34">
        <f>IF($A594="",NA(),1-T594)</f>
        <v/>
      </c>
    </row>
    <row r="595">
      <c r="C595" s="33" t="n"/>
      <c r="D595" s="33" t="n"/>
      <c r="E595" s="33" t="n"/>
      <c r="F595" s="33" t="n"/>
      <c r="G595" s="33" t="n"/>
      <c r="H595" s="33" t="n"/>
      <c r="I595" s="33" t="n"/>
      <c r="J595" s="33" t="n"/>
      <c r="K595" s="33" t="n"/>
      <c r="L595" s="33" t="n"/>
      <c r="N595" s="34">
        <f>IF($A595="",NA(),IF(C595&gt;0,D595/C595,0))</f>
        <v/>
      </c>
      <c r="O595" s="34">
        <f>IF($A595="",NA(),IF(E595&gt;0,F595/E595,0))</f>
        <v/>
      </c>
      <c r="P595" s="34">
        <f>IF($A595="",NA(),IF(K595+L595&gt;0,K595/(K595+L595),0.5))</f>
        <v/>
      </c>
      <c r="Q595" s="34">
        <f>IF($A595="",NA(),1-P595)</f>
        <v/>
      </c>
      <c r="R595" s="33">
        <f>IF($A595="",NA(),MAX(0,E595-F595)*IF(G595&gt;0,H595/G595,COMPAREC_PAD)*IF(I595&gt;0,J595/I595,VALIDOS_PAD))</f>
        <v/>
      </c>
      <c r="S595" s="34">
        <f>IF($A595="",NA(),IF(R595&gt;0,0.5-(K595-L595)/(2*R595),0))</f>
        <v/>
      </c>
      <c r="T595" s="34">
        <f>IF($A595="",NA(),IF(R595&lt;=0,IF(K595&gt;L595,1,IF(K595&lt;L595,0,0.5)),1-NORMDIST(S595,P595+AJUSTE,SIGMA,TRUE)))</f>
        <v/>
      </c>
      <c r="U595" s="34">
        <f>IF($A595="",NA(),1-T595)</f>
        <v/>
      </c>
    </row>
    <row r="596"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3" t="n"/>
      <c r="N596" s="34">
        <f>IF($A596="",NA(),IF(C596&gt;0,D596/C596,0))</f>
        <v/>
      </c>
      <c r="O596" s="34">
        <f>IF($A596="",NA(),IF(E596&gt;0,F596/E596,0))</f>
        <v/>
      </c>
      <c r="P596" s="34">
        <f>IF($A596="",NA(),IF(K596+L596&gt;0,K596/(K596+L596),0.5))</f>
        <v/>
      </c>
      <c r="Q596" s="34">
        <f>IF($A596="",NA(),1-P596)</f>
        <v/>
      </c>
      <c r="R596" s="33">
        <f>IF($A596="",NA(),MAX(0,E596-F596)*IF(G596&gt;0,H596/G596,COMPAREC_PAD)*IF(I596&gt;0,J596/I596,VALIDOS_PAD))</f>
        <v/>
      </c>
      <c r="S596" s="34">
        <f>IF($A596="",NA(),IF(R596&gt;0,0.5-(K596-L596)/(2*R596),0))</f>
        <v/>
      </c>
      <c r="T596" s="34">
        <f>IF($A596="",NA(),IF(R596&lt;=0,IF(K596&gt;L596,1,IF(K596&lt;L596,0,0.5)),1-NORMDIST(S596,P596+AJUSTE,SIGMA,TRUE)))</f>
        <v/>
      </c>
      <c r="U596" s="34">
        <f>IF($A596="",NA(),1-T596)</f>
        <v/>
      </c>
    </row>
    <row r="597"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n"/>
      <c r="L597" s="33" t="n"/>
      <c r="N597" s="34">
        <f>IF($A597="",NA(),IF(C597&gt;0,D597/C597,0))</f>
        <v/>
      </c>
      <c r="O597" s="34">
        <f>IF($A597="",NA(),IF(E597&gt;0,F597/E597,0))</f>
        <v/>
      </c>
      <c r="P597" s="34">
        <f>IF($A597="",NA(),IF(K597+L597&gt;0,K597/(K597+L597),0.5))</f>
        <v/>
      </c>
      <c r="Q597" s="34">
        <f>IF($A597="",NA(),1-P597)</f>
        <v/>
      </c>
      <c r="R597" s="33">
        <f>IF($A597="",NA(),MAX(0,E597-F597)*IF(G597&gt;0,H597/G597,COMPAREC_PAD)*IF(I597&gt;0,J597/I597,VALIDOS_PAD))</f>
        <v/>
      </c>
      <c r="S597" s="34">
        <f>IF($A597="",NA(),IF(R597&gt;0,0.5-(K597-L597)/(2*R597),0))</f>
        <v/>
      </c>
      <c r="T597" s="34">
        <f>IF($A597="",NA(),IF(R597&lt;=0,IF(K597&gt;L597,1,IF(K597&lt;L597,0,0.5)),1-NORMDIST(S597,P597+AJUSTE,SIGMA,TRUE)))</f>
        <v/>
      </c>
      <c r="U597" s="34">
        <f>IF($A597="",NA(),1-T597)</f>
        <v/>
      </c>
    </row>
    <row r="598"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3" t="n"/>
      <c r="N598" s="34">
        <f>IF($A598="",NA(),IF(C598&gt;0,D598/C598,0))</f>
        <v/>
      </c>
      <c r="O598" s="34">
        <f>IF($A598="",NA(),IF(E598&gt;0,F598/E598,0))</f>
        <v/>
      </c>
      <c r="P598" s="34">
        <f>IF($A598="",NA(),IF(K598+L598&gt;0,K598/(K598+L598),0.5))</f>
        <v/>
      </c>
      <c r="Q598" s="34">
        <f>IF($A598="",NA(),1-P598)</f>
        <v/>
      </c>
      <c r="R598" s="33">
        <f>IF($A598="",NA(),MAX(0,E598-F598)*IF(G598&gt;0,H598/G598,COMPAREC_PAD)*IF(I598&gt;0,J598/I598,VALIDOS_PAD))</f>
        <v/>
      </c>
      <c r="S598" s="34">
        <f>IF($A598="",NA(),IF(R598&gt;0,0.5-(K598-L598)/(2*R598),0))</f>
        <v/>
      </c>
      <c r="T598" s="34">
        <f>IF($A598="",NA(),IF(R598&lt;=0,IF(K598&gt;L598,1,IF(K598&lt;L598,0,0.5)),1-NORMDIST(S598,P598+AJUSTE,SIGMA,TRUE)))</f>
        <v/>
      </c>
      <c r="U598" s="34">
        <f>IF($A598="",NA(),1-T598)</f>
        <v/>
      </c>
    </row>
    <row r="599">
      <c r="C599" s="33" t="n"/>
      <c r="D599" s="33" t="n"/>
      <c r="E599" s="33" t="n"/>
      <c r="F599" s="33" t="n"/>
      <c r="G599" s="33" t="n"/>
      <c r="H599" s="33" t="n"/>
      <c r="I599" s="33" t="n"/>
      <c r="J599" s="33" t="n"/>
      <c r="K599" s="33" t="n"/>
      <c r="L599" s="33" t="n"/>
      <c r="N599" s="34">
        <f>IF($A599="",NA(),IF(C599&gt;0,D599/C599,0))</f>
        <v/>
      </c>
      <c r="O599" s="34">
        <f>IF($A599="",NA(),IF(E599&gt;0,F599/E599,0))</f>
        <v/>
      </c>
      <c r="P599" s="34">
        <f>IF($A599="",NA(),IF(K599+L599&gt;0,K599/(K599+L599),0.5))</f>
        <v/>
      </c>
      <c r="Q599" s="34">
        <f>IF($A599="",NA(),1-P599)</f>
        <v/>
      </c>
      <c r="R599" s="33">
        <f>IF($A599="",NA(),MAX(0,E599-F599)*IF(G599&gt;0,H599/G599,COMPAREC_PAD)*IF(I599&gt;0,J599/I599,VALIDOS_PAD))</f>
        <v/>
      </c>
      <c r="S599" s="34">
        <f>IF($A599="",NA(),IF(R599&gt;0,0.5-(K599-L599)/(2*R599),0))</f>
        <v/>
      </c>
      <c r="T599" s="34">
        <f>IF($A599="",NA(),IF(R599&lt;=0,IF(K599&gt;L599,1,IF(K599&lt;L599,0,0.5)),1-NORMDIST(S599,P599+AJUSTE,SIGMA,TRUE)))</f>
        <v/>
      </c>
      <c r="U599" s="34">
        <f>IF($A599="",NA(),1-T599)</f>
        <v/>
      </c>
    </row>
    <row r="600"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3" t="n"/>
      <c r="N600" s="34">
        <f>IF($A600="",NA(),IF(C600&gt;0,D600/C600,0))</f>
        <v/>
      </c>
      <c r="O600" s="34">
        <f>IF($A600="",NA(),IF(E600&gt;0,F600/E600,0))</f>
        <v/>
      </c>
      <c r="P600" s="34">
        <f>IF($A600="",NA(),IF(K600+L600&gt;0,K600/(K600+L600),0.5))</f>
        <v/>
      </c>
      <c r="Q600" s="34">
        <f>IF($A600="",NA(),1-P600)</f>
        <v/>
      </c>
      <c r="R600" s="33">
        <f>IF($A600="",NA(),MAX(0,E600-F600)*IF(G600&gt;0,H600/G600,COMPAREC_PAD)*IF(I600&gt;0,J600/I600,VALIDOS_PAD))</f>
        <v/>
      </c>
      <c r="S600" s="34">
        <f>IF($A600="",NA(),IF(R600&gt;0,0.5-(K600-L600)/(2*R600),0))</f>
        <v/>
      </c>
      <c r="T600" s="34">
        <f>IF($A600="",NA(),IF(R600&lt;=0,IF(K600&gt;L600,1,IF(K600&lt;L600,0,0.5)),1-NORMDIST(S600,P600+AJUSTE,SIGMA,TRUE)))</f>
        <v/>
      </c>
      <c r="U600" s="34">
        <f>IF($A600="",NA(),1-T600)</f>
        <v/>
      </c>
    </row>
    <row r="601">
      <c r="C601" s="33" t="n"/>
      <c r="D601" s="33" t="n"/>
      <c r="E601" s="33" t="n"/>
      <c r="F601" s="33" t="n"/>
      <c r="G601" s="33" t="n"/>
      <c r="H601" s="33" t="n"/>
      <c r="I601" s="33" t="n"/>
      <c r="J601" s="33" t="n"/>
      <c r="K601" s="33" t="n"/>
      <c r="L601" s="33" t="n"/>
      <c r="N601" s="34">
        <f>IF($A601="",NA(),IF(C601&gt;0,D601/C601,0))</f>
        <v/>
      </c>
      <c r="O601" s="34">
        <f>IF($A601="",NA(),IF(E601&gt;0,F601/E601,0))</f>
        <v/>
      </c>
      <c r="P601" s="34">
        <f>IF($A601="",NA(),IF(K601+L601&gt;0,K601/(K601+L601),0.5))</f>
        <v/>
      </c>
      <c r="Q601" s="34">
        <f>IF($A601="",NA(),1-P601)</f>
        <v/>
      </c>
      <c r="R601" s="33">
        <f>IF($A601="",NA(),MAX(0,E601-F601)*IF(G601&gt;0,H601/G601,COMPAREC_PAD)*IF(I601&gt;0,J601/I601,VALIDOS_PAD))</f>
        <v/>
      </c>
      <c r="S601" s="34">
        <f>IF($A601="",NA(),IF(R601&gt;0,0.5-(K601-L601)/(2*R601),0))</f>
        <v/>
      </c>
      <c r="T601" s="34">
        <f>IF($A601="",NA(),IF(R601&lt;=0,IF(K601&gt;L601,1,IF(K601&lt;L601,0,0.5)),1-NORMDIST(S601,P601+AJUSTE,SIGMA,TRUE)))</f>
        <v/>
      </c>
      <c r="U601" s="34">
        <f>IF($A601="",NA(),1-T601)</f>
        <v/>
      </c>
    </row>
    <row r="602"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3" t="n"/>
      <c r="N602" s="34">
        <f>IF($A602="",NA(),IF(C602&gt;0,D602/C602,0))</f>
        <v/>
      </c>
      <c r="O602" s="34">
        <f>IF($A602="",NA(),IF(E602&gt;0,F602/E602,0))</f>
        <v/>
      </c>
      <c r="P602" s="34">
        <f>IF($A602="",NA(),IF(K602+L602&gt;0,K602/(K602+L602),0.5))</f>
        <v/>
      </c>
      <c r="Q602" s="34">
        <f>IF($A602="",NA(),1-P602)</f>
        <v/>
      </c>
      <c r="R602" s="33">
        <f>IF($A602="",NA(),MAX(0,E602-F602)*IF(G602&gt;0,H602/G602,COMPAREC_PAD)*IF(I602&gt;0,J602/I602,VALIDOS_PAD))</f>
        <v/>
      </c>
      <c r="S602" s="34">
        <f>IF($A602="",NA(),IF(R602&gt;0,0.5-(K602-L602)/(2*R602),0))</f>
        <v/>
      </c>
      <c r="T602" s="34">
        <f>IF($A602="",NA(),IF(R602&lt;=0,IF(K602&gt;L602,1,IF(K602&lt;L602,0,0.5)),1-NORMDIST(S602,P602+AJUSTE,SIGMA,TRUE)))</f>
        <v/>
      </c>
      <c r="U602" s="34">
        <f>IF($A602="",NA(),1-T602)</f>
        <v/>
      </c>
    </row>
    <row r="603">
      <c r="C603" s="33" t="n"/>
      <c r="D603" s="33" t="n"/>
      <c r="E603" s="33" t="n"/>
      <c r="F603" s="33" t="n"/>
      <c r="G603" s="33" t="n"/>
      <c r="H603" s="33" t="n"/>
      <c r="I603" s="33" t="n"/>
      <c r="J603" s="33" t="n"/>
      <c r="K603" s="33" t="n"/>
      <c r="L603" s="33" t="n"/>
      <c r="N603" s="34">
        <f>IF($A603="",NA(),IF(C603&gt;0,D603/C603,0))</f>
        <v/>
      </c>
      <c r="O603" s="34">
        <f>IF($A603="",NA(),IF(E603&gt;0,F603/E603,0))</f>
        <v/>
      </c>
      <c r="P603" s="34">
        <f>IF($A603="",NA(),IF(K603+L603&gt;0,K603/(K603+L603),0.5))</f>
        <v/>
      </c>
      <c r="Q603" s="34">
        <f>IF($A603="",NA(),1-P603)</f>
        <v/>
      </c>
      <c r="R603" s="33">
        <f>IF($A603="",NA(),MAX(0,E603-F603)*IF(G603&gt;0,H603/G603,COMPAREC_PAD)*IF(I603&gt;0,J603/I603,VALIDOS_PAD))</f>
        <v/>
      </c>
      <c r="S603" s="34">
        <f>IF($A603="",NA(),IF(R603&gt;0,0.5-(K603-L603)/(2*R603),0))</f>
        <v/>
      </c>
      <c r="T603" s="34">
        <f>IF($A603="",NA(),IF(R603&lt;=0,IF(K603&gt;L603,1,IF(K603&lt;L603,0,0.5)),1-NORMDIST(S603,P603+AJUSTE,SIGMA,TRUE)))</f>
        <v/>
      </c>
      <c r="U603" s="34">
        <f>IF($A603="",NA(),1-T603)</f>
        <v/>
      </c>
    </row>
    <row r="604"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3" t="n"/>
      <c r="N604" s="34">
        <f>IF($A604="",NA(),IF(C604&gt;0,D604/C604,0))</f>
        <v/>
      </c>
      <c r="O604" s="34">
        <f>IF($A604="",NA(),IF(E604&gt;0,F604/E604,0))</f>
        <v/>
      </c>
      <c r="P604" s="34">
        <f>IF($A604="",NA(),IF(K604+L604&gt;0,K604/(K604+L604),0.5))</f>
        <v/>
      </c>
      <c r="Q604" s="34">
        <f>IF($A604="",NA(),1-P604)</f>
        <v/>
      </c>
      <c r="R604" s="33">
        <f>IF($A604="",NA(),MAX(0,E604-F604)*IF(G604&gt;0,H604/G604,COMPAREC_PAD)*IF(I604&gt;0,J604/I604,VALIDOS_PAD))</f>
        <v/>
      </c>
      <c r="S604" s="34">
        <f>IF($A604="",NA(),IF(R604&gt;0,0.5-(K604-L604)/(2*R604),0))</f>
        <v/>
      </c>
      <c r="T604" s="34">
        <f>IF($A604="",NA(),IF(R604&lt;=0,IF(K604&gt;L604,1,IF(K604&lt;L604,0,0.5)),1-NORMDIST(S604,P604+AJUSTE,SIGMA,TRUE)))</f>
        <v/>
      </c>
      <c r="U604" s="34">
        <f>IF($A604="",NA(),1-T604)</f>
        <v/>
      </c>
    </row>
    <row r="605">
      <c r="C605" s="33" t="n"/>
      <c r="D605" s="33" t="n"/>
      <c r="E605" s="33" t="n"/>
      <c r="F605" s="33" t="n"/>
      <c r="G605" s="33" t="n"/>
      <c r="H605" s="33" t="n"/>
      <c r="I605" s="33" t="n"/>
      <c r="J605" s="33" t="n"/>
      <c r="K605" s="33" t="n"/>
      <c r="L605" s="33" t="n"/>
      <c r="N605" s="34">
        <f>IF($A605="",NA(),IF(C605&gt;0,D605/C605,0))</f>
        <v/>
      </c>
      <c r="O605" s="34">
        <f>IF($A605="",NA(),IF(E605&gt;0,F605/E605,0))</f>
        <v/>
      </c>
      <c r="P605" s="34">
        <f>IF($A605="",NA(),IF(K605+L605&gt;0,K605/(K605+L605),0.5))</f>
        <v/>
      </c>
      <c r="Q605" s="34">
        <f>IF($A605="",NA(),1-P605)</f>
        <v/>
      </c>
      <c r="R605" s="33">
        <f>IF($A605="",NA(),MAX(0,E605-F605)*IF(G605&gt;0,H605/G605,COMPAREC_PAD)*IF(I605&gt;0,J605/I605,VALIDOS_PAD))</f>
        <v/>
      </c>
      <c r="S605" s="34">
        <f>IF($A605="",NA(),IF(R605&gt;0,0.5-(K605-L605)/(2*R605),0))</f>
        <v/>
      </c>
      <c r="T605" s="34">
        <f>IF($A605="",NA(),IF(R605&lt;=0,IF(K605&gt;L605,1,IF(K605&lt;L605,0,0.5)),1-NORMDIST(S605,P605+AJUSTE,SIGMA,TRUE)))</f>
        <v/>
      </c>
      <c r="U605" s="34">
        <f>IF($A605="",NA(),1-T605)</f>
        <v/>
      </c>
    </row>
    <row r="606"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3" t="n"/>
      <c r="N606" s="34">
        <f>IF($A606="",NA(),IF(C606&gt;0,D606/C606,0))</f>
        <v/>
      </c>
      <c r="O606" s="34">
        <f>IF($A606="",NA(),IF(E606&gt;0,F606/E606,0))</f>
        <v/>
      </c>
      <c r="P606" s="34">
        <f>IF($A606="",NA(),IF(K606+L606&gt;0,K606/(K606+L606),0.5))</f>
        <v/>
      </c>
      <c r="Q606" s="34">
        <f>IF($A606="",NA(),1-P606)</f>
        <v/>
      </c>
      <c r="R606" s="33">
        <f>IF($A606="",NA(),MAX(0,E606-F606)*IF(G606&gt;0,H606/G606,COMPAREC_PAD)*IF(I606&gt;0,J606/I606,VALIDOS_PAD))</f>
        <v/>
      </c>
      <c r="S606" s="34">
        <f>IF($A606="",NA(),IF(R606&gt;0,0.5-(K606-L606)/(2*R606),0))</f>
        <v/>
      </c>
      <c r="T606" s="34">
        <f>IF($A606="",NA(),IF(R606&lt;=0,IF(K606&gt;L606,1,IF(K606&lt;L606,0,0.5)),1-NORMDIST(S606,P606+AJUSTE,SIGMA,TRUE)))</f>
        <v/>
      </c>
      <c r="U606" s="34">
        <f>IF($A606="",NA(),1-T606)</f>
        <v/>
      </c>
    </row>
    <row r="607">
      <c r="C607" s="33" t="n"/>
      <c r="D607" s="33" t="n"/>
      <c r="E607" s="33" t="n"/>
      <c r="F607" s="33" t="n"/>
      <c r="G607" s="33" t="n"/>
      <c r="H607" s="33" t="n"/>
      <c r="I607" s="33" t="n"/>
      <c r="J607" s="33" t="n"/>
      <c r="K607" s="33" t="n"/>
      <c r="L607" s="33" t="n"/>
      <c r="N607" s="34">
        <f>IF($A607="",NA(),IF(C607&gt;0,D607/C607,0))</f>
        <v/>
      </c>
      <c r="O607" s="34">
        <f>IF($A607="",NA(),IF(E607&gt;0,F607/E607,0))</f>
        <v/>
      </c>
      <c r="P607" s="34">
        <f>IF($A607="",NA(),IF(K607+L607&gt;0,K607/(K607+L607),0.5))</f>
        <v/>
      </c>
      <c r="Q607" s="34">
        <f>IF($A607="",NA(),1-P607)</f>
        <v/>
      </c>
      <c r="R607" s="33">
        <f>IF($A607="",NA(),MAX(0,E607-F607)*IF(G607&gt;0,H607/G607,COMPAREC_PAD)*IF(I607&gt;0,J607/I607,VALIDOS_PAD))</f>
        <v/>
      </c>
      <c r="S607" s="34">
        <f>IF($A607="",NA(),IF(R607&gt;0,0.5-(K607-L607)/(2*R607),0))</f>
        <v/>
      </c>
      <c r="T607" s="34">
        <f>IF($A607="",NA(),IF(R607&lt;=0,IF(K607&gt;L607,1,IF(K607&lt;L607,0,0.5)),1-NORMDIST(S607,P607+AJUSTE,SIGMA,TRUE)))</f>
        <v/>
      </c>
      <c r="U607" s="34">
        <f>IF($A607="",NA(),1-T607)</f>
        <v/>
      </c>
    </row>
    <row r="608"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3" t="n"/>
      <c r="N608" s="34">
        <f>IF($A608="",NA(),IF(C608&gt;0,D608/C608,0))</f>
        <v/>
      </c>
      <c r="O608" s="34">
        <f>IF($A608="",NA(),IF(E608&gt;0,F608/E608,0))</f>
        <v/>
      </c>
      <c r="P608" s="34">
        <f>IF($A608="",NA(),IF(K608+L608&gt;0,K608/(K608+L608),0.5))</f>
        <v/>
      </c>
      <c r="Q608" s="34">
        <f>IF($A608="",NA(),1-P608)</f>
        <v/>
      </c>
      <c r="R608" s="33">
        <f>IF($A608="",NA(),MAX(0,E608-F608)*IF(G608&gt;0,H608/G608,COMPAREC_PAD)*IF(I608&gt;0,J608/I608,VALIDOS_PAD))</f>
        <v/>
      </c>
      <c r="S608" s="34">
        <f>IF($A608="",NA(),IF(R608&gt;0,0.5-(K608-L608)/(2*R608),0))</f>
        <v/>
      </c>
      <c r="T608" s="34">
        <f>IF($A608="",NA(),IF(R608&lt;=0,IF(K608&gt;L608,1,IF(K608&lt;L608,0,0.5)),1-NORMDIST(S608,P608+AJUSTE,SIGMA,TRUE)))</f>
        <v/>
      </c>
      <c r="U608" s="34">
        <f>IF($A608="",NA(),1-T608)</f>
        <v/>
      </c>
    </row>
    <row r="609">
      <c r="C609" s="33" t="n"/>
      <c r="D609" s="33" t="n"/>
      <c r="E609" s="33" t="n"/>
      <c r="F609" s="33" t="n"/>
      <c r="G609" s="33" t="n"/>
      <c r="H609" s="33" t="n"/>
      <c r="I609" s="33" t="n"/>
      <c r="J609" s="33" t="n"/>
      <c r="K609" s="33" t="n"/>
      <c r="L609" s="33" t="n"/>
      <c r="N609" s="34">
        <f>IF($A609="",NA(),IF(C609&gt;0,D609/C609,0))</f>
        <v/>
      </c>
      <c r="O609" s="34">
        <f>IF($A609="",NA(),IF(E609&gt;0,F609/E609,0))</f>
        <v/>
      </c>
      <c r="P609" s="34">
        <f>IF($A609="",NA(),IF(K609+L609&gt;0,K609/(K609+L609),0.5))</f>
        <v/>
      </c>
      <c r="Q609" s="34">
        <f>IF($A609="",NA(),1-P609)</f>
        <v/>
      </c>
      <c r="R609" s="33">
        <f>IF($A609="",NA(),MAX(0,E609-F609)*IF(G609&gt;0,H609/G609,COMPAREC_PAD)*IF(I609&gt;0,J609/I609,VALIDOS_PAD))</f>
        <v/>
      </c>
      <c r="S609" s="34">
        <f>IF($A609="",NA(),IF(R609&gt;0,0.5-(K609-L609)/(2*R609),0))</f>
        <v/>
      </c>
      <c r="T609" s="34">
        <f>IF($A609="",NA(),IF(R609&lt;=0,IF(K609&gt;L609,1,IF(K609&lt;L609,0,0.5)),1-NORMDIST(S609,P609+AJUSTE,SIGMA,TRUE)))</f>
        <v/>
      </c>
      <c r="U609" s="34">
        <f>IF($A609="",NA(),1-T609)</f>
        <v/>
      </c>
    </row>
    <row r="610"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3" t="n"/>
      <c r="N610" s="34">
        <f>IF($A610="",NA(),IF(C610&gt;0,D610/C610,0))</f>
        <v/>
      </c>
      <c r="O610" s="34">
        <f>IF($A610="",NA(),IF(E610&gt;0,F610/E610,0))</f>
        <v/>
      </c>
      <c r="P610" s="34">
        <f>IF($A610="",NA(),IF(K610+L610&gt;0,K610/(K610+L610),0.5))</f>
        <v/>
      </c>
      <c r="Q610" s="34">
        <f>IF($A610="",NA(),1-P610)</f>
        <v/>
      </c>
      <c r="R610" s="33">
        <f>IF($A610="",NA(),MAX(0,E610-F610)*IF(G610&gt;0,H610/G610,COMPAREC_PAD)*IF(I610&gt;0,J610/I610,VALIDOS_PAD))</f>
        <v/>
      </c>
      <c r="S610" s="34">
        <f>IF($A610="",NA(),IF(R610&gt;0,0.5-(K610-L610)/(2*R610),0))</f>
        <v/>
      </c>
      <c r="T610" s="34">
        <f>IF($A610="",NA(),IF(R610&lt;=0,IF(K610&gt;L610,1,IF(K610&lt;L610,0,0.5)),1-NORMDIST(S610,P610+AJUSTE,SIGMA,TRUE)))</f>
        <v/>
      </c>
      <c r="U610" s="34">
        <f>IF($A610="",NA(),1-T610)</f>
        <v/>
      </c>
    </row>
    <row r="611">
      <c r="C611" s="33" t="n"/>
      <c r="D611" s="33" t="n"/>
      <c r="E611" s="33" t="n"/>
      <c r="F611" s="33" t="n"/>
      <c r="G611" s="33" t="n"/>
      <c r="H611" s="33" t="n"/>
      <c r="I611" s="33" t="n"/>
      <c r="J611" s="33" t="n"/>
      <c r="K611" s="33" t="n"/>
      <c r="L611" s="33" t="n"/>
      <c r="N611" s="34">
        <f>IF($A611="",NA(),IF(C611&gt;0,D611/C611,0))</f>
        <v/>
      </c>
      <c r="O611" s="34">
        <f>IF($A611="",NA(),IF(E611&gt;0,F611/E611,0))</f>
        <v/>
      </c>
      <c r="P611" s="34">
        <f>IF($A611="",NA(),IF(K611+L611&gt;0,K611/(K611+L611),0.5))</f>
        <v/>
      </c>
      <c r="Q611" s="34">
        <f>IF($A611="",NA(),1-P611)</f>
        <v/>
      </c>
      <c r="R611" s="33">
        <f>IF($A611="",NA(),MAX(0,E611-F611)*IF(G611&gt;0,H611/G611,COMPAREC_PAD)*IF(I611&gt;0,J611/I611,VALIDOS_PAD))</f>
        <v/>
      </c>
      <c r="S611" s="34">
        <f>IF($A611="",NA(),IF(R611&gt;0,0.5-(K611-L611)/(2*R611),0))</f>
        <v/>
      </c>
      <c r="T611" s="34">
        <f>IF($A611="",NA(),IF(R611&lt;=0,IF(K611&gt;L611,1,IF(K611&lt;L611,0,0.5)),1-NORMDIST(S611,P611+AJUSTE,SIGMA,TRUE)))</f>
        <v/>
      </c>
      <c r="U611" s="34">
        <f>IF($A611="",NA(),1-T611)</f>
        <v/>
      </c>
    </row>
    <row r="612"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3" t="n"/>
      <c r="N612" s="34">
        <f>IF($A612="",NA(),IF(C612&gt;0,D612/C612,0))</f>
        <v/>
      </c>
      <c r="O612" s="34">
        <f>IF($A612="",NA(),IF(E612&gt;0,F612/E612,0))</f>
        <v/>
      </c>
      <c r="P612" s="34">
        <f>IF($A612="",NA(),IF(K612+L612&gt;0,K612/(K612+L612),0.5))</f>
        <v/>
      </c>
      <c r="Q612" s="34">
        <f>IF($A612="",NA(),1-P612)</f>
        <v/>
      </c>
      <c r="R612" s="33">
        <f>IF($A612="",NA(),MAX(0,E612-F612)*IF(G612&gt;0,H612/G612,COMPAREC_PAD)*IF(I612&gt;0,J612/I612,VALIDOS_PAD))</f>
        <v/>
      </c>
      <c r="S612" s="34">
        <f>IF($A612="",NA(),IF(R612&gt;0,0.5-(K612-L612)/(2*R612),0))</f>
        <v/>
      </c>
      <c r="T612" s="34">
        <f>IF($A612="",NA(),IF(R612&lt;=0,IF(K612&gt;L612,1,IF(K612&lt;L612,0,0.5)),1-NORMDIST(S612,P612+AJUSTE,SIGMA,TRUE)))</f>
        <v/>
      </c>
      <c r="U612" s="34">
        <f>IF($A612="",NA(),1-T612)</f>
        <v/>
      </c>
    </row>
    <row r="613">
      <c r="C613" s="33" t="n"/>
      <c r="D613" s="33" t="n"/>
      <c r="E613" s="33" t="n"/>
      <c r="F613" s="33" t="n"/>
      <c r="G613" s="33" t="n"/>
      <c r="H613" s="33" t="n"/>
      <c r="I613" s="33" t="n"/>
      <c r="J613" s="33" t="n"/>
      <c r="K613" s="33" t="n"/>
      <c r="L613" s="33" t="n"/>
      <c r="N613" s="34">
        <f>IF($A613="",NA(),IF(C613&gt;0,D613/C613,0))</f>
        <v/>
      </c>
      <c r="O613" s="34">
        <f>IF($A613="",NA(),IF(E613&gt;0,F613/E613,0))</f>
        <v/>
      </c>
      <c r="P613" s="34">
        <f>IF($A613="",NA(),IF(K613+L613&gt;0,K613/(K613+L613),0.5))</f>
        <v/>
      </c>
      <c r="Q613" s="34">
        <f>IF($A613="",NA(),1-P613)</f>
        <v/>
      </c>
      <c r="R613" s="33">
        <f>IF($A613="",NA(),MAX(0,E613-F613)*IF(G613&gt;0,H613/G613,COMPAREC_PAD)*IF(I613&gt;0,J613/I613,VALIDOS_PAD))</f>
        <v/>
      </c>
      <c r="S613" s="34">
        <f>IF($A613="",NA(),IF(R613&gt;0,0.5-(K613-L613)/(2*R613),0))</f>
        <v/>
      </c>
      <c r="T613" s="34">
        <f>IF($A613="",NA(),IF(R613&lt;=0,IF(K613&gt;L613,1,IF(K613&lt;L613,0,0.5)),1-NORMDIST(S613,P613+AJUSTE,SIGMA,TRUE)))</f>
        <v/>
      </c>
      <c r="U613" s="34">
        <f>IF($A613="",NA(),1-T613)</f>
        <v/>
      </c>
    </row>
    <row r="614"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3" t="n"/>
      <c r="N614" s="34">
        <f>IF($A614="",NA(),IF(C614&gt;0,D614/C614,0))</f>
        <v/>
      </c>
      <c r="O614" s="34">
        <f>IF($A614="",NA(),IF(E614&gt;0,F614/E614,0))</f>
        <v/>
      </c>
      <c r="P614" s="34">
        <f>IF($A614="",NA(),IF(K614+L614&gt;0,K614/(K614+L614),0.5))</f>
        <v/>
      </c>
      <c r="Q614" s="34">
        <f>IF($A614="",NA(),1-P614)</f>
        <v/>
      </c>
      <c r="R614" s="33">
        <f>IF($A614="",NA(),MAX(0,E614-F614)*IF(G614&gt;0,H614/G614,COMPAREC_PAD)*IF(I614&gt;0,J614/I614,VALIDOS_PAD))</f>
        <v/>
      </c>
      <c r="S614" s="34">
        <f>IF($A614="",NA(),IF(R614&gt;0,0.5-(K614-L614)/(2*R614),0))</f>
        <v/>
      </c>
      <c r="T614" s="34">
        <f>IF($A614="",NA(),IF(R614&lt;=0,IF(K614&gt;L614,1,IF(K614&lt;L614,0,0.5)),1-NORMDIST(S614,P614+AJUSTE,SIGMA,TRUE)))</f>
        <v/>
      </c>
      <c r="U614" s="34">
        <f>IF($A614="",NA(),1-T614)</f>
        <v/>
      </c>
    </row>
    <row r="615">
      <c r="C615" s="33" t="n"/>
      <c r="D615" s="33" t="n"/>
      <c r="E615" s="33" t="n"/>
      <c r="F615" s="33" t="n"/>
      <c r="G615" s="33" t="n"/>
      <c r="H615" s="33" t="n"/>
      <c r="I615" s="33" t="n"/>
      <c r="J615" s="33" t="n"/>
      <c r="K615" s="33" t="n"/>
      <c r="L615" s="33" t="n"/>
      <c r="N615" s="34">
        <f>IF($A615="",NA(),IF(C615&gt;0,D615/C615,0))</f>
        <v/>
      </c>
      <c r="O615" s="34">
        <f>IF($A615="",NA(),IF(E615&gt;0,F615/E615,0))</f>
        <v/>
      </c>
      <c r="P615" s="34">
        <f>IF($A615="",NA(),IF(K615+L615&gt;0,K615/(K615+L615),0.5))</f>
        <v/>
      </c>
      <c r="Q615" s="34">
        <f>IF($A615="",NA(),1-P615)</f>
        <v/>
      </c>
      <c r="R615" s="33">
        <f>IF($A615="",NA(),MAX(0,E615-F615)*IF(G615&gt;0,H615/G615,COMPAREC_PAD)*IF(I615&gt;0,J615/I615,VALIDOS_PAD))</f>
        <v/>
      </c>
      <c r="S615" s="34">
        <f>IF($A615="",NA(),IF(R615&gt;0,0.5-(K615-L615)/(2*R615),0))</f>
        <v/>
      </c>
      <c r="T615" s="34">
        <f>IF($A615="",NA(),IF(R615&lt;=0,IF(K615&gt;L615,1,IF(K615&lt;L615,0,0.5)),1-NORMDIST(S615,P615+AJUSTE,SIGMA,TRUE)))</f>
        <v/>
      </c>
      <c r="U615" s="34">
        <f>IF($A615="",NA(),1-T615)</f>
        <v/>
      </c>
    </row>
    <row r="616"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3" t="n"/>
      <c r="N616" s="34">
        <f>IF($A616="",NA(),IF(C616&gt;0,D616/C616,0))</f>
        <v/>
      </c>
      <c r="O616" s="34">
        <f>IF($A616="",NA(),IF(E616&gt;0,F616/E616,0))</f>
        <v/>
      </c>
      <c r="P616" s="34">
        <f>IF($A616="",NA(),IF(K616+L616&gt;0,K616/(K616+L616),0.5))</f>
        <v/>
      </c>
      <c r="Q616" s="34">
        <f>IF($A616="",NA(),1-P616)</f>
        <v/>
      </c>
      <c r="R616" s="33">
        <f>IF($A616="",NA(),MAX(0,E616-F616)*IF(G616&gt;0,H616/G616,COMPAREC_PAD)*IF(I616&gt;0,J616/I616,VALIDOS_PAD))</f>
        <v/>
      </c>
      <c r="S616" s="34">
        <f>IF($A616="",NA(),IF(R616&gt;0,0.5-(K616-L616)/(2*R616),0))</f>
        <v/>
      </c>
      <c r="T616" s="34">
        <f>IF($A616="",NA(),IF(R616&lt;=0,IF(K616&gt;L616,1,IF(K616&lt;L616,0,0.5)),1-NORMDIST(S616,P616+AJUSTE,SIGMA,TRUE)))</f>
        <v/>
      </c>
      <c r="U616" s="34">
        <f>IF($A616="",NA(),1-T616)</f>
        <v/>
      </c>
    </row>
    <row r="617">
      <c r="C617" s="33" t="n"/>
      <c r="D617" s="33" t="n"/>
      <c r="E617" s="33" t="n"/>
      <c r="F617" s="33" t="n"/>
      <c r="G617" s="33" t="n"/>
      <c r="H617" s="33" t="n"/>
      <c r="I617" s="33" t="n"/>
      <c r="J617" s="33" t="n"/>
      <c r="K617" s="33" t="n"/>
      <c r="L617" s="33" t="n"/>
      <c r="N617" s="34">
        <f>IF($A617="",NA(),IF(C617&gt;0,D617/C617,0))</f>
        <v/>
      </c>
      <c r="O617" s="34">
        <f>IF($A617="",NA(),IF(E617&gt;0,F617/E617,0))</f>
        <v/>
      </c>
      <c r="P617" s="34">
        <f>IF($A617="",NA(),IF(K617+L617&gt;0,K617/(K617+L617),0.5))</f>
        <v/>
      </c>
      <c r="Q617" s="34">
        <f>IF($A617="",NA(),1-P617)</f>
        <v/>
      </c>
      <c r="R617" s="33">
        <f>IF($A617="",NA(),MAX(0,E617-F617)*IF(G617&gt;0,H617/G617,COMPAREC_PAD)*IF(I617&gt;0,J617/I617,VALIDOS_PAD))</f>
        <v/>
      </c>
      <c r="S617" s="34">
        <f>IF($A617="",NA(),IF(R617&gt;0,0.5-(K617-L617)/(2*R617),0))</f>
        <v/>
      </c>
      <c r="T617" s="34">
        <f>IF($A617="",NA(),IF(R617&lt;=0,IF(K617&gt;L617,1,IF(K617&lt;L617,0,0.5)),1-NORMDIST(S617,P617+AJUSTE,SIGMA,TRUE)))</f>
        <v/>
      </c>
      <c r="U617" s="34">
        <f>IF($A617="",NA(),1-T617)</f>
        <v/>
      </c>
    </row>
    <row r="618"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3" t="n"/>
      <c r="N618" s="34">
        <f>IF($A618="",NA(),IF(C618&gt;0,D618/C618,0))</f>
        <v/>
      </c>
      <c r="O618" s="34">
        <f>IF($A618="",NA(),IF(E618&gt;0,F618/E618,0))</f>
        <v/>
      </c>
      <c r="P618" s="34">
        <f>IF($A618="",NA(),IF(K618+L618&gt;0,K618/(K618+L618),0.5))</f>
        <v/>
      </c>
      <c r="Q618" s="34">
        <f>IF($A618="",NA(),1-P618)</f>
        <v/>
      </c>
      <c r="R618" s="33">
        <f>IF($A618="",NA(),MAX(0,E618-F618)*IF(G618&gt;0,H618/G618,COMPAREC_PAD)*IF(I618&gt;0,J618/I618,VALIDOS_PAD))</f>
        <v/>
      </c>
      <c r="S618" s="34">
        <f>IF($A618="",NA(),IF(R618&gt;0,0.5-(K618-L618)/(2*R618),0))</f>
        <v/>
      </c>
      <c r="T618" s="34">
        <f>IF($A618="",NA(),IF(R618&lt;=0,IF(K618&gt;L618,1,IF(K618&lt;L618,0,0.5)),1-NORMDIST(S618,P618+AJUSTE,SIGMA,TRUE)))</f>
        <v/>
      </c>
      <c r="U618" s="34">
        <f>IF($A618="",NA(),1-T618)</f>
        <v/>
      </c>
    </row>
    <row r="619">
      <c r="C619" s="33" t="n"/>
      <c r="D619" s="33" t="n"/>
      <c r="E619" s="33" t="n"/>
      <c r="F619" s="33" t="n"/>
      <c r="G619" s="33" t="n"/>
      <c r="H619" s="33" t="n"/>
      <c r="I619" s="33" t="n"/>
      <c r="J619" s="33" t="n"/>
      <c r="K619" s="33" t="n"/>
      <c r="L619" s="33" t="n"/>
      <c r="N619" s="34">
        <f>IF($A619="",NA(),IF(C619&gt;0,D619/C619,0))</f>
        <v/>
      </c>
      <c r="O619" s="34">
        <f>IF($A619="",NA(),IF(E619&gt;0,F619/E619,0))</f>
        <v/>
      </c>
      <c r="P619" s="34">
        <f>IF($A619="",NA(),IF(K619+L619&gt;0,K619/(K619+L619),0.5))</f>
        <v/>
      </c>
      <c r="Q619" s="34">
        <f>IF($A619="",NA(),1-P619)</f>
        <v/>
      </c>
      <c r="R619" s="33">
        <f>IF($A619="",NA(),MAX(0,E619-F619)*IF(G619&gt;0,H619/G619,COMPAREC_PAD)*IF(I619&gt;0,J619/I619,VALIDOS_PAD))</f>
        <v/>
      </c>
      <c r="S619" s="34">
        <f>IF($A619="",NA(),IF(R619&gt;0,0.5-(K619-L619)/(2*R619),0))</f>
        <v/>
      </c>
      <c r="T619" s="34">
        <f>IF($A619="",NA(),IF(R619&lt;=0,IF(K619&gt;L619,1,IF(K619&lt;L619,0,0.5)),1-NORMDIST(S619,P619+AJUSTE,SIGMA,TRUE)))</f>
        <v/>
      </c>
      <c r="U619" s="34">
        <f>IF($A619="",NA(),1-T619)</f>
        <v/>
      </c>
    </row>
    <row r="620"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3" t="n"/>
      <c r="N620" s="34">
        <f>IF($A620="",NA(),IF(C620&gt;0,D620/C620,0))</f>
        <v/>
      </c>
      <c r="O620" s="34">
        <f>IF($A620="",NA(),IF(E620&gt;0,F620/E620,0))</f>
        <v/>
      </c>
      <c r="P620" s="34">
        <f>IF($A620="",NA(),IF(K620+L620&gt;0,K620/(K620+L620),0.5))</f>
        <v/>
      </c>
      <c r="Q620" s="34">
        <f>IF($A620="",NA(),1-P620)</f>
        <v/>
      </c>
      <c r="R620" s="33">
        <f>IF($A620="",NA(),MAX(0,E620-F620)*IF(G620&gt;0,H620/G620,COMPAREC_PAD)*IF(I620&gt;0,J620/I620,VALIDOS_PAD))</f>
        <v/>
      </c>
      <c r="S620" s="34">
        <f>IF($A620="",NA(),IF(R620&gt;0,0.5-(K620-L620)/(2*R620),0))</f>
        <v/>
      </c>
      <c r="T620" s="34">
        <f>IF($A620="",NA(),IF(R620&lt;=0,IF(K620&gt;L620,1,IF(K620&lt;L620,0,0.5)),1-NORMDIST(S620,P620+AJUSTE,SIGMA,TRUE)))</f>
        <v/>
      </c>
      <c r="U620" s="34">
        <f>IF($A620="",NA(),1-T620)</f>
        <v/>
      </c>
    </row>
    <row r="621"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n"/>
      <c r="L621" s="33" t="n"/>
      <c r="N621" s="34">
        <f>IF($A621="",NA(),IF(C621&gt;0,D621/C621,0))</f>
        <v/>
      </c>
      <c r="O621" s="34">
        <f>IF($A621="",NA(),IF(E621&gt;0,F621/E621,0))</f>
        <v/>
      </c>
      <c r="P621" s="34">
        <f>IF($A621="",NA(),IF(K621+L621&gt;0,K621/(K621+L621),0.5))</f>
        <v/>
      </c>
      <c r="Q621" s="34">
        <f>IF($A621="",NA(),1-P621)</f>
        <v/>
      </c>
      <c r="R621" s="33">
        <f>IF($A621="",NA(),MAX(0,E621-F621)*IF(G621&gt;0,H621/G621,COMPAREC_PAD)*IF(I621&gt;0,J621/I621,VALIDOS_PAD))</f>
        <v/>
      </c>
      <c r="S621" s="34">
        <f>IF($A621="",NA(),IF(R621&gt;0,0.5-(K621-L621)/(2*R621),0))</f>
        <v/>
      </c>
      <c r="T621" s="34">
        <f>IF($A621="",NA(),IF(R621&lt;=0,IF(K621&gt;L621,1,IF(K621&lt;L621,0,0.5)),1-NORMDIST(S621,P621+AJUSTE,SIGMA,TRUE)))</f>
        <v/>
      </c>
      <c r="U621" s="34">
        <f>IF($A621="",NA(),1-T621)</f>
        <v/>
      </c>
    </row>
    <row r="622"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3" t="n"/>
      <c r="N622" s="34">
        <f>IF($A622="",NA(),IF(C622&gt;0,D622/C622,0))</f>
        <v/>
      </c>
      <c r="O622" s="34">
        <f>IF($A622="",NA(),IF(E622&gt;0,F622/E622,0))</f>
        <v/>
      </c>
      <c r="P622" s="34">
        <f>IF($A622="",NA(),IF(K622+L622&gt;0,K622/(K622+L622),0.5))</f>
        <v/>
      </c>
      <c r="Q622" s="34">
        <f>IF($A622="",NA(),1-P622)</f>
        <v/>
      </c>
      <c r="R622" s="33">
        <f>IF($A622="",NA(),MAX(0,E622-F622)*IF(G622&gt;0,H622/G622,COMPAREC_PAD)*IF(I622&gt;0,J622/I622,VALIDOS_PAD))</f>
        <v/>
      </c>
      <c r="S622" s="34">
        <f>IF($A622="",NA(),IF(R622&gt;0,0.5-(K622-L622)/(2*R622),0))</f>
        <v/>
      </c>
      <c r="T622" s="34">
        <f>IF($A622="",NA(),IF(R622&lt;=0,IF(K622&gt;L622,1,IF(K622&lt;L622,0,0.5)),1-NORMDIST(S622,P622+AJUSTE,SIGMA,TRUE)))</f>
        <v/>
      </c>
      <c r="U622" s="34">
        <f>IF($A622="",NA(),1-T622)</f>
        <v/>
      </c>
    </row>
    <row r="623">
      <c r="C623" s="33" t="n"/>
      <c r="D623" s="33" t="n"/>
      <c r="E623" s="33" t="n"/>
      <c r="F623" s="33" t="n"/>
      <c r="G623" s="33" t="n"/>
      <c r="H623" s="33" t="n"/>
      <c r="I623" s="33" t="n"/>
      <c r="J623" s="33" t="n"/>
      <c r="K623" s="33" t="n"/>
      <c r="L623" s="33" t="n"/>
      <c r="N623" s="34">
        <f>IF($A623="",NA(),IF(C623&gt;0,D623/C623,0))</f>
        <v/>
      </c>
      <c r="O623" s="34">
        <f>IF($A623="",NA(),IF(E623&gt;0,F623/E623,0))</f>
        <v/>
      </c>
      <c r="P623" s="34">
        <f>IF($A623="",NA(),IF(K623+L623&gt;0,K623/(K623+L623),0.5))</f>
        <v/>
      </c>
      <c r="Q623" s="34">
        <f>IF($A623="",NA(),1-P623)</f>
        <v/>
      </c>
      <c r="R623" s="33">
        <f>IF($A623="",NA(),MAX(0,E623-F623)*IF(G623&gt;0,H623/G623,COMPAREC_PAD)*IF(I623&gt;0,J623/I623,VALIDOS_PAD))</f>
        <v/>
      </c>
      <c r="S623" s="34">
        <f>IF($A623="",NA(),IF(R623&gt;0,0.5-(K623-L623)/(2*R623),0))</f>
        <v/>
      </c>
      <c r="T623" s="34">
        <f>IF($A623="",NA(),IF(R623&lt;=0,IF(K623&gt;L623,1,IF(K623&lt;L623,0,0.5)),1-NORMDIST(S623,P623+AJUSTE,SIGMA,TRUE)))</f>
        <v/>
      </c>
      <c r="U623" s="34">
        <f>IF($A623="",NA(),1-T623)</f>
        <v/>
      </c>
    </row>
    <row r="624"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3" t="n"/>
      <c r="N624" s="34">
        <f>IF($A624="",NA(),IF(C624&gt;0,D624/C624,0))</f>
        <v/>
      </c>
      <c r="O624" s="34">
        <f>IF($A624="",NA(),IF(E624&gt;0,F624/E624,0))</f>
        <v/>
      </c>
      <c r="P624" s="34">
        <f>IF($A624="",NA(),IF(K624+L624&gt;0,K624/(K624+L624),0.5))</f>
        <v/>
      </c>
      <c r="Q624" s="34">
        <f>IF($A624="",NA(),1-P624)</f>
        <v/>
      </c>
      <c r="R624" s="33">
        <f>IF($A624="",NA(),MAX(0,E624-F624)*IF(G624&gt;0,H624/G624,COMPAREC_PAD)*IF(I624&gt;0,J624/I624,VALIDOS_PAD))</f>
        <v/>
      </c>
      <c r="S624" s="34">
        <f>IF($A624="",NA(),IF(R624&gt;0,0.5-(K624-L624)/(2*R624),0))</f>
        <v/>
      </c>
      <c r="T624" s="34">
        <f>IF($A624="",NA(),IF(R624&lt;=0,IF(K624&gt;L624,1,IF(K624&lt;L624,0,0.5)),1-NORMDIST(S624,P624+AJUSTE,SIGMA,TRUE)))</f>
        <v/>
      </c>
      <c r="U624" s="34">
        <f>IF($A624="",NA(),1-T624)</f>
        <v/>
      </c>
    </row>
    <row r="625">
      <c r="C625" s="33" t="n"/>
      <c r="D625" s="33" t="n"/>
      <c r="E625" s="33" t="n"/>
      <c r="F625" s="33" t="n"/>
      <c r="G625" s="33" t="n"/>
      <c r="H625" s="33" t="n"/>
      <c r="I625" s="33" t="n"/>
      <c r="J625" s="33" t="n"/>
      <c r="K625" s="33" t="n"/>
      <c r="L625" s="33" t="n"/>
      <c r="N625" s="34">
        <f>IF($A625="",NA(),IF(C625&gt;0,D625/C625,0))</f>
        <v/>
      </c>
      <c r="O625" s="34">
        <f>IF($A625="",NA(),IF(E625&gt;0,F625/E625,0))</f>
        <v/>
      </c>
      <c r="P625" s="34">
        <f>IF($A625="",NA(),IF(K625+L625&gt;0,K625/(K625+L625),0.5))</f>
        <v/>
      </c>
      <c r="Q625" s="34">
        <f>IF($A625="",NA(),1-P625)</f>
        <v/>
      </c>
      <c r="R625" s="33">
        <f>IF($A625="",NA(),MAX(0,E625-F625)*IF(G625&gt;0,H625/G625,COMPAREC_PAD)*IF(I625&gt;0,J625/I625,VALIDOS_PAD))</f>
        <v/>
      </c>
      <c r="S625" s="34">
        <f>IF($A625="",NA(),IF(R625&gt;0,0.5-(K625-L625)/(2*R625),0))</f>
        <v/>
      </c>
      <c r="T625" s="34">
        <f>IF($A625="",NA(),IF(R625&lt;=0,IF(K625&gt;L625,1,IF(K625&lt;L625,0,0.5)),1-NORMDIST(S625,P625+AJUSTE,SIGMA,TRUE)))</f>
        <v/>
      </c>
      <c r="U625" s="34">
        <f>IF($A625="",NA(),1-T625)</f>
        <v/>
      </c>
    </row>
    <row r="626"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3" t="n"/>
      <c r="N626" s="34">
        <f>IF($A626="",NA(),IF(C626&gt;0,D626/C626,0))</f>
        <v/>
      </c>
      <c r="O626" s="34">
        <f>IF($A626="",NA(),IF(E626&gt;0,F626/E626,0))</f>
        <v/>
      </c>
      <c r="P626" s="34">
        <f>IF($A626="",NA(),IF(K626+L626&gt;0,K626/(K626+L626),0.5))</f>
        <v/>
      </c>
      <c r="Q626" s="34">
        <f>IF($A626="",NA(),1-P626)</f>
        <v/>
      </c>
      <c r="R626" s="33">
        <f>IF($A626="",NA(),MAX(0,E626-F626)*IF(G626&gt;0,H626/G626,COMPAREC_PAD)*IF(I626&gt;0,J626/I626,VALIDOS_PAD))</f>
        <v/>
      </c>
      <c r="S626" s="34">
        <f>IF($A626="",NA(),IF(R626&gt;0,0.5-(K626-L626)/(2*R626),0))</f>
        <v/>
      </c>
      <c r="T626" s="34">
        <f>IF($A626="",NA(),IF(R626&lt;=0,IF(K626&gt;L626,1,IF(K626&lt;L626,0,0.5)),1-NORMDIST(S626,P626+AJUSTE,SIGMA,TRUE)))</f>
        <v/>
      </c>
      <c r="U626" s="34">
        <f>IF($A626="",NA(),1-T626)</f>
        <v/>
      </c>
    </row>
    <row r="627">
      <c r="C627" s="33" t="n"/>
      <c r="D627" s="33" t="n"/>
      <c r="E627" s="33" t="n"/>
      <c r="F627" s="33" t="n"/>
      <c r="G627" s="33" t="n"/>
      <c r="H627" s="33" t="n"/>
      <c r="I627" s="33" t="n"/>
      <c r="J627" s="33" t="n"/>
      <c r="K627" s="33" t="n"/>
      <c r="L627" s="33" t="n"/>
      <c r="N627" s="34">
        <f>IF($A627="",NA(),IF(C627&gt;0,D627/C627,0))</f>
        <v/>
      </c>
      <c r="O627" s="34">
        <f>IF($A627="",NA(),IF(E627&gt;0,F627/E627,0))</f>
        <v/>
      </c>
      <c r="P627" s="34">
        <f>IF($A627="",NA(),IF(K627+L627&gt;0,K627/(K627+L627),0.5))</f>
        <v/>
      </c>
      <c r="Q627" s="34">
        <f>IF($A627="",NA(),1-P627)</f>
        <v/>
      </c>
      <c r="R627" s="33">
        <f>IF($A627="",NA(),MAX(0,E627-F627)*IF(G627&gt;0,H627/G627,COMPAREC_PAD)*IF(I627&gt;0,J627/I627,VALIDOS_PAD))</f>
        <v/>
      </c>
      <c r="S627" s="34">
        <f>IF($A627="",NA(),IF(R627&gt;0,0.5-(K627-L627)/(2*R627),0))</f>
        <v/>
      </c>
      <c r="T627" s="34">
        <f>IF($A627="",NA(),IF(R627&lt;=0,IF(K627&gt;L627,1,IF(K627&lt;L627,0,0.5)),1-NORMDIST(S627,P627+AJUSTE,SIGMA,TRUE)))</f>
        <v/>
      </c>
      <c r="U627" s="34">
        <f>IF($A627="",NA(),1-T627)</f>
        <v/>
      </c>
    </row>
    <row r="628"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3" t="n"/>
      <c r="N628" s="34">
        <f>IF($A628="",NA(),IF(C628&gt;0,D628/C628,0))</f>
        <v/>
      </c>
      <c r="O628" s="34">
        <f>IF($A628="",NA(),IF(E628&gt;0,F628/E628,0))</f>
        <v/>
      </c>
      <c r="P628" s="34">
        <f>IF($A628="",NA(),IF(K628+L628&gt;0,K628/(K628+L628),0.5))</f>
        <v/>
      </c>
      <c r="Q628" s="34">
        <f>IF($A628="",NA(),1-P628)</f>
        <v/>
      </c>
      <c r="R628" s="33">
        <f>IF($A628="",NA(),MAX(0,E628-F628)*IF(G628&gt;0,H628/G628,COMPAREC_PAD)*IF(I628&gt;0,J628/I628,VALIDOS_PAD))</f>
        <v/>
      </c>
      <c r="S628" s="34">
        <f>IF($A628="",NA(),IF(R628&gt;0,0.5-(K628-L628)/(2*R628),0))</f>
        <v/>
      </c>
      <c r="T628" s="34">
        <f>IF($A628="",NA(),IF(R628&lt;=0,IF(K628&gt;L628,1,IF(K628&lt;L628,0,0.5)),1-NORMDIST(S628,P628+AJUSTE,SIGMA,TRUE)))</f>
        <v/>
      </c>
      <c r="U628" s="34">
        <f>IF($A628="",NA(),1-T628)</f>
        <v/>
      </c>
    </row>
    <row r="629">
      <c r="C629" s="33" t="n"/>
      <c r="D629" s="33" t="n"/>
      <c r="E629" s="33" t="n"/>
      <c r="F629" s="33" t="n"/>
      <c r="G629" s="33" t="n"/>
      <c r="H629" s="33" t="n"/>
      <c r="I629" s="33" t="n"/>
      <c r="J629" s="33" t="n"/>
      <c r="K629" s="33" t="n"/>
      <c r="L629" s="33" t="n"/>
      <c r="N629" s="34">
        <f>IF($A629="",NA(),IF(C629&gt;0,D629/C629,0))</f>
        <v/>
      </c>
      <c r="O629" s="34">
        <f>IF($A629="",NA(),IF(E629&gt;0,F629/E629,0))</f>
        <v/>
      </c>
      <c r="P629" s="34">
        <f>IF($A629="",NA(),IF(K629+L629&gt;0,K629/(K629+L629),0.5))</f>
        <v/>
      </c>
      <c r="Q629" s="34">
        <f>IF($A629="",NA(),1-P629)</f>
        <v/>
      </c>
      <c r="R629" s="33">
        <f>IF($A629="",NA(),MAX(0,E629-F629)*IF(G629&gt;0,H629/G629,COMPAREC_PAD)*IF(I629&gt;0,J629/I629,VALIDOS_PAD))</f>
        <v/>
      </c>
      <c r="S629" s="34">
        <f>IF($A629="",NA(),IF(R629&gt;0,0.5-(K629-L629)/(2*R629),0))</f>
        <v/>
      </c>
      <c r="T629" s="34">
        <f>IF($A629="",NA(),IF(R629&lt;=0,IF(K629&gt;L629,1,IF(K629&lt;L629,0,0.5)),1-NORMDIST(S629,P629+AJUSTE,SIGMA,TRUE)))</f>
        <v/>
      </c>
      <c r="U629" s="34">
        <f>IF($A629="",NA(),1-T629)</f>
        <v/>
      </c>
    </row>
    <row r="630"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3" t="n"/>
      <c r="N630" s="34">
        <f>IF($A630="",NA(),IF(C630&gt;0,D630/C630,0))</f>
        <v/>
      </c>
      <c r="O630" s="34">
        <f>IF($A630="",NA(),IF(E630&gt;0,F630/E630,0))</f>
        <v/>
      </c>
      <c r="P630" s="34">
        <f>IF($A630="",NA(),IF(K630+L630&gt;0,K630/(K630+L630),0.5))</f>
        <v/>
      </c>
      <c r="Q630" s="34">
        <f>IF($A630="",NA(),1-P630)</f>
        <v/>
      </c>
      <c r="R630" s="33">
        <f>IF($A630="",NA(),MAX(0,E630-F630)*IF(G630&gt;0,H630/G630,COMPAREC_PAD)*IF(I630&gt;0,J630/I630,VALIDOS_PAD))</f>
        <v/>
      </c>
      <c r="S630" s="34">
        <f>IF($A630="",NA(),IF(R630&gt;0,0.5-(K630-L630)/(2*R630),0))</f>
        <v/>
      </c>
      <c r="T630" s="34">
        <f>IF($A630="",NA(),IF(R630&lt;=0,IF(K630&gt;L630,1,IF(K630&lt;L630,0,0.5)),1-NORMDIST(S630,P630+AJUSTE,SIGMA,TRUE)))</f>
        <v/>
      </c>
      <c r="U630" s="34">
        <f>IF($A630="",NA(),1-T630)</f>
        <v/>
      </c>
    </row>
    <row r="631"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n"/>
      <c r="L631" s="33" t="n"/>
      <c r="N631" s="34">
        <f>IF($A631="",NA(),IF(C631&gt;0,D631/C631,0))</f>
        <v/>
      </c>
      <c r="O631" s="34">
        <f>IF($A631="",NA(),IF(E631&gt;0,F631/E631,0))</f>
        <v/>
      </c>
      <c r="P631" s="34">
        <f>IF($A631="",NA(),IF(K631+L631&gt;0,K631/(K631+L631),0.5))</f>
        <v/>
      </c>
      <c r="Q631" s="34">
        <f>IF($A631="",NA(),1-P631)</f>
        <v/>
      </c>
      <c r="R631" s="33">
        <f>IF($A631="",NA(),MAX(0,E631-F631)*IF(G631&gt;0,H631/G631,COMPAREC_PAD)*IF(I631&gt;0,J631/I631,VALIDOS_PAD))</f>
        <v/>
      </c>
      <c r="S631" s="34">
        <f>IF($A631="",NA(),IF(R631&gt;0,0.5-(K631-L631)/(2*R631),0))</f>
        <v/>
      </c>
      <c r="T631" s="34">
        <f>IF($A631="",NA(),IF(R631&lt;=0,IF(K631&gt;L631,1,IF(K631&lt;L631,0,0.5)),1-NORMDIST(S631,P631+AJUSTE,SIGMA,TRUE)))</f>
        <v/>
      </c>
      <c r="U631" s="34">
        <f>IF($A631="",NA(),1-T631)</f>
        <v/>
      </c>
    </row>
    <row r="632"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3" t="n"/>
      <c r="N632" s="34">
        <f>IF($A632="",NA(),IF(C632&gt;0,D632/C632,0))</f>
        <v/>
      </c>
      <c r="O632" s="34">
        <f>IF($A632="",NA(),IF(E632&gt;0,F632/E632,0))</f>
        <v/>
      </c>
      <c r="P632" s="34">
        <f>IF($A632="",NA(),IF(K632+L632&gt;0,K632/(K632+L632),0.5))</f>
        <v/>
      </c>
      <c r="Q632" s="34">
        <f>IF($A632="",NA(),1-P632)</f>
        <v/>
      </c>
      <c r="R632" s="33">
        <f>IF($A632="",NA(),MAX(0,E632-F632)*IF(G632&gt;0,H632/G632,COMPAREC_PAD)*IF(I632&gt;0,J632/I632,VALIDOS_PAD))</f>
        <v/>
      </c>
      <c r="S632" s="34">
        <f>IF($A632="",NA(),IF(R632&gt;0,0.5-(K632-L632)/(2*R632),0))</f>
        <v/>
      </c>
      <c r="T632" s="34">
        <f>IF($A632="",NA(),IF(R632&lt;=0,IF(K632&gt;L632,1,IF(K632&lt;L632,0,0.5)),1-NORMDIST(S632,P632+AJUSTE,SIGMA,TRUE)))</f>
        <v/>
      </c>
      <c r="U632" s="34">
        <f>IF($A632="",NA(),1-T632)</f>
        <v/>
      </c>
    </row>
    <row r="633">
      <c r="C633" s="33" t="n"/>
      <c r="D633" s="33" t="n"/>
      <c r="E633" s="33" t="n"/>
      <c r="F633" s="33" t="n"/>
      <c r="G633" s="33" t="n"/>
      <c r="H633" s="33" t="n"/>
      <c r="I633" s="33" t="n"/>
      <c r="J633" s="33" t="n"/>
      <c r="K633" s="33" t="n"/>
      <c r="L633" s="33" t="n"/>
      <c r="N633" s="34">
        <f>IF($A633="",NA(),IF(C633&gt;0,D633/C633,0))</f>
        <v/>
      </c>
      <c r="O633" s="34">
        <f>IF($A633="",NA(),IF(E633&gt;0,F633/E633,0))</f>
        <v/>
      </c>
      <c r="P633" s="34">
        <f>IF($A633="",NA(),IF(K633+L633&gt;0,K633/(K633+L633),0.5))</f>
        <v/>
      </c>
      <c r="Q633" s="34">
        <f>IF($A633="",NA(),1-P633)</f>
        <v/>
      </c>
      <c r="R633" s="33">
        <f>IF($A633="",NA(),MAX(0,E633-F633)*IF(G633&gt;0,H633/G633,COMPAREC_PAD)*IF(I633&gt;0,J633/I633,VALIDOS_PAD))</f>
        <v/>
      </c>
      <c r="S633" s="34">
        <f>IF($A633="",NA(),IF(R633&gt;0,0.5-(K633-L633)/(2*R633),0))</f>
        <v/>
      </c>
      <c r="T633" s="34">
        <f>IF($A633="",NA(),IF(R633&lt;=0,IF(K633&gt;L633,1,IF(K633&lt;L633,0,0.5)),1-NORMDIST(S633,P633+AJUSTE,SIGMA,TRUE)))</f>
        <v/>
      </c>
      <c r="U633" s="34">
        <f>IF($A633="",NA(),1-T633)</f>
        <v/>
      </c>
    </row>
    <row r="634"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3" t="n"/>
      <c r="N634" s="34">
        <f>IF($A634="",NA(),IF(C634&gt;0,D634/C634,0))</f>
        <v/>
      </c>
      <c r="O634" s="34">
        <f>IF($A634="",NA(),IF(E634&gt;0,F634/E634,0))</f>
        <v/>
      </c>
      <c r="P634" s="34">
        <f>IF($A634="",NA(),IF(K634+L634&gt;0,K634/(K634+L634),0.5))</f>
        <v/>
      </c>
      <c r="Q634" s="34">
        <f>IF($A634="",NA(),1-P634)</f>
        <v/>
      </c>
      <c r="R634" s="33">
        <f>IF($A634="",NA(),MAX(0,E634-F634)*IF(G634&gt;0,H634/G634,COMPAREC_PAD)*IF(I634&gt;0,J634/I634,VALIDOS_PAD))</f>
        <v/>
      </c>
      <c r="S634" s="34">
        <f>IF($A634="",NA(),IF(R634&gt;0,0.5-(K634-L634)/(2*R634),0))</f>
        <v/>
      </c>
      <c r="T634" s="34">
        <f>IF($A634="",NA(),IF(R634&lt;=0,IF(K634&gt;L634,1,IF(K634&lt;L634,0,0.5)),1-NORMDIST(S634,P634+AJUSTE,SIGMA,TRUE)))</f>
        <v/>
      </c>
      <c r="U634" s="34">
        <f>IF($A634="",NA(),1-T634)</f>
        <v/>
      </c>
    </row>
    <row r="635">
      <c r="C635" s="33" t="n"/>
      <c r="D635" s="33" t="n"/>
      <c r="E635" s="33" t="n"/>
      <c r="F635" s="33" t="n"/>
      <c r="G635" s="33" t="n"/>
      <c r="H635" s="33" t="n"/>
      <c r="I635" s="33" t="n"/>
      <c r="J635" s="33" t="n"/>
      <c r="K635" s="33" t="n"/>
      <c r="L635" s="33" t="n"/>
      <c r="N635" s="34">
        <f>IF($A635="",NA(),IF(C635&gt;0,D635/C635,0))</f>
        <v/>
      </c>
      <c r="O635" s="34">
        <f>IF($A635="",NA(),IF(E635&gt;0,F635/E635,0))</f>
        <v/>
      </c>
      <c r="P635" s="34">
        <f>IF($A635="",NA(),IF(K635+L635&gt;0,K635/(K635+L635),0.5))</f>
        <v/>
      </c>
      <c r="Q635" s="34">
        <f>IF($A635="",NA(),1-P635)</f>
        <v/>
      </c>
      <c r="R635" s="33">
        <f>IF($A635="",NA(),MAX(0,E635-F635)*IF(G635&gt;0,H635/G635,COMPAREC_PAD)*IF(I635&gt;0,J635/I635,VALIDOS_PAD))</f>
        <v/>
      </c>
      <c r="S635" s="34">
        <f>IF($A635="",NA(),IF(R635&gt;0,0.5-(K635-L635)/(2*R635),0))</f>
        <v/>
      </c>
      <c r="T635" s="34">
        <f>IF($A635="",NA(),IF(R635&lt;=0,IF(K635&gt;L635,1,IF(K635&lt;L635,0,0.5)),1-NORMDIST(S635,P635+AJUSTE,SIGMA,TRUE)))</f>
        <v/>
      </c>
      <c r="U635" s="34">
        <f>IF($A635="",NA(),1-T635)</f>
        <v/>
      </c>
    </row>
    <row r="636"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3" t="n"/>
      <c r="N636" s="34">
        <f>IF($A636="",NA(),IF(C636&gt;0,D636/C636,0))</f>
        <v/>
      </c>
      <c r="O636" s="34">
        <f>IF($A636="",NA(),IF(E636&gt;0,F636/E636,0))</f>
        <v/>
      </c>
      <c r="P636" s="34">
        <f>IF($A636="",NA(),IF(K636+L636&gt;0,K636/(K636+L636),0.5))</f>
        <v/>
      </c>
      <c r="Q636" s="34">
        <f>IF($A636="",NA(),1-P636)</f>
        <v/>
      </c>
      <c r="R636" s="33">
        <f>IF($A636="",NA(),MAX(0,E636-F636)*IF(G636&gt;0,H636/G636,COMPAREC_PAD)*IF(I636&gt;0,J636/I636,VALIDOS_PAD))</f>
        <v/>
      </c>
      <c r="S636" s="34">
        <f>IF($A636="",NA(),IF(R636&gt;0,0.5-(K636-L636)/(2*R636),0))</f>
        <v/>
      </c>
      <c r="T636" s="34">
        <f>IF($A636="",NA(),IF(R636&lt;=0,IF(K636&gt;L636,1,IF(K636&lt;L636,0,0.5)),1-NORMDIST(S636,P636+AJUSTE,SIGMA,TRUE)))</f>
        <v/>
      </c>
      <c r="U636" s="34">
        <f>IF($A636="",NA(),1-T636)</f>
        <v/>
      </c>
    </row>
    <row r="637"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n"/>
      <c r="L637" s="33" t="n"/>
      <c r="N637" s="34">
        <f>IF($A637="",NA(),IF(C637&gt;0,D637/C637,0))</f>
        <v/>
      </c>
      <c r="O637" s="34">
        <f>IF($A637="",NA(),IF(E637&gt;0,F637/E637,0))</f>
        <v/>
      </c>
      <c r="P637" s="34">
        <f>IF($A637="",NA(),IF(K637+L637&gt;0,K637/(K637+L637),0.5))</f>
        <v/>
      </c>
      <c r="Q637" s="34">
        <f>IF($A637="",NA(),1-P637)</f>
        <v/>
      </c>
      <c r="R637" s="33">
        <f>IF($A637="",NA(),MAX(0,E637-F637)*IF(G637&gt;0,H637/G637,COMPAREC_PAD)*IF(I637&gt;0,J637/I637,VALIDOS_PAD))</f>
        <v/>
      </c>
      <c r="S637" s="34">
        <f>IF($A637="",NA(),IF(R637&gt;0,0.5-(K637-L637)/(2*R637),0))</f>
        <v/>
      </c>
      <c r="T637" s="34">
        <f>IF($A637="",NA(),IF(R637&lt;=0,IF(K637&gt;L637,1,IF(K637&lt;L637,0,0.5)),1-NORMDIST(S637,P637+AJUSTE,SIGMA,TRUE)))</f>
        <v/>
      </c>
      <c r="U637" s="34">
        <f>IF($A637="",NA(),1-T637)</f>
        <v/>
      </c>
    </row>
    <row r="638"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3" t="n"/>
      <c r="N638" s="34">
        <f>IF($A638="",NA(),IF(C638&gt;0,D638/C638,0))</f>
        <v/>
      </c>
      <c r="O638" s="34">
        <f>IF($A638="",NA(),IF(E638&gt;0,F638/E638,0))</f>
        <v/>
      </c>
      <c r="P638" s="34">
        <f>IF($A638="",NA(),IF(K638+L638&gt;0,K638/(K638+L638),0.5))</f>
        <v/>
      </c>
      <c r="Q638" s="34">
        <f>IF($A638="",NA(),1-P638)</f>
        <v/>
      </c>
      <c r="R638" s="33">
        <f>IF($A638="",NA(),MAX(0,E638-F638)*IF(G638&gt;0,H638/G638,COMPAREC_PAD)*IF(I638&gt;0,J638/I638,VALIDOS_PAD))</f>
        <v/>
      </c>
      <c r="S638" s="34">
        <f>IF($A638="",NA(),IF(R638&gt;0,0.5-(K638-L638)/(2*R638),0))</f>
        <v/>
      </c>
      <c r="T638" s="34">
        <f>IF($A638="",NA(),IF(R638&lt;=0,IF(K638&gt;L638,1,IF(K638&lt;L638,0,0.5)),1-NORMDIST(S638,P638+AJUSTE,SIGMA,TRUE)))</f>
        <v/>
      </c>
      <c r="U638" s="34">
        <f>IF($A638="",NA(),1-T638)</f>
        <v/>
      </c>
    </row>
    <row r="639">
      <c r="C639" s="33" t="n"/>
      <c r="D639" s="33" t="n"/>
      <c r="E639" s="33" t="n"/>
      <c r="F639" s="33" t="n"/>
      <c r="G639" s="33" t="n"/>
      <c r="H639" s="33" t="n"/>
      <c r="I639" s="33" t="n"/>
      <c r="J639" s="33" t="n"/>
      <c r="K639" s="33" t="n"/>
      <c r="L639" s="33" t="n"/>
      <c r="N639" s="34">
        <f>IF($A639="",NA(),IF(C639&gt;0,D639/C639,0))</f>
        <v/>
      </c>
      <c r="O639" s="34">
        <f>IF($A639="",NA(),IF(E639&gt;0,F639/E639,0))</f>
        <v/>
      </c>
      <c r="P639" s="34">
        <f>IF($A639="",NA(),IF(K639+L639&gt;0,K639/(K639+L639),0.5))</f>
        <v/>
      </c>
      <c r="Q639" s="34">
        <f>IF($A639="",NA(),1-P639)</f>
        <v/>
      </c>
      <c r="R639" s="33">
        <f>IF($A639="",NA(),MAX(0,E639-F639)*IF(G639&gt;0,H639/G639,COMPAREC_PAD)*IF(I639&gt;0,J639/I639,VALIDOS_PAD))</f>
        <v/>
      </c>
      <c r="S639" s="34">
        <f>IF($A639="",NA(),IF(R639&gt;0,0.5-(K639-L639)/(2*R639),0))</f>
        <v/>
      </c>
      <c r="T639" s="34">
        <f>IF($A639="",NA(),IF(R639&lt;=0,IF(K639&gt;L639,1,IF(K639&lt;L639,0,0.5)),1-NORMDIST(S639,P639+AJUSTE,SIGMA,TRUE)))</f>
        <v/>
      </c>
      <c r="U639" s="34">
        <f>IF($A639="",NA(),1-T639)</f>
        <v/>
      </c>
    </row>
    <row r="640"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3" t="n"/>
      <c r="N640" s="34">
        <f>IF($A640="",NA(),IF(C640&gt;0,D640/C640,0))</f>
        <v/>
      </c>
      <c r="O640" s="34">
        <f>IF($A640="",NA(),IF(E640&gt;0,F640/E640,0))</f>
        <v/>
      </c>
      <c r="P640" s="34">
        <f>IF($A640="",NA(),IF(K640+L640&gt;0,K640/(K640+L640),0.5))</f>
        <v/>
      </c>
      <c r="Q640" s="34">
        <f>IF($A640="",NA(),1-P640)</f>
        <v/>
      </c>
      <c r="R640" s="33">
        <f>IF($A640="",NA(),MAX(0,E640-F640)*IF(G640&gt;0,H640/G640,COMPAREC_PAD)*IF(I640&gt;0,J640/I640,VALIDOS_PAD))</f>
        <v/>
      </c>
      <c r="S640" s="34">
        <f>IF($A640="",NA(),IF(R640&gt;0,0.5-(K640-L640)/(2*R640),0))</f>
        <v/>
      </c>
      <c r="T640" s="34">
        <f>IF($A640="",NA(),IF(R640&lt;=0,IF(K640&gt;L640,1,IF(K640&lt;L640,0,0.5)),1-NORMDIST(S640,P640+AJUSTE,SIGMA,TRUE)))</f>
        <v/>
      </c>
      <c r="U640" s="34">
        <f>IF($A640="",NA(),1-T640)</f>
        <v/>
      </c>
    </row>
    <row r="641">
      <c r="C641" s="33" t="n"/>
      <c r="D641" s="33" t="n"/>
      <c r="E641" s="33" t="n"/>
      <c r="F641" s="33" t="n"/>
      <c r="G641" s="33" t="n"/>
      <c r="H641" s="33" t="n"/>
      <c r="I641" s="33" t="n"/>
      <c r="J641" s="33" t="n"/>
      <c r="K641" s="33" t="n"/>
      <c r="L641" s="33" t="n"/>
      <c r="N641" s="34">
        <f>IF($A641="",NA(),IF(C641&gt;0,D641/C641,0))</f>
        <v/>
      </c>
      <c r="O641" s="34">
        <f>IF($A641="",NA(),IF(E641&gt;0,F641/E641,0))</f>
        <v/>
      </c>
      <c r="P641" s="34">
        <f>IF($A641="",NA(),IF(K641+L641&gt;0,K641/(K641+L641),0.5))</f>
        <v/>
      </c>
      <c r="Q641" s="34">
        <f>IF($A641="",NA(),1-P641)</f>
        <v/>
      </c>
      <c r="R641" s="33">
        <f>IF($A641="",NA(),MAX(0,E641-F641)*IF(G641&gt;0,H641/G641,COMPAREC_PAD)*IF(I641&gt;0,J641/I641,VALIDOS_PAD))</f>
        <v/>
      </c>
      <c r="S641" s="34">
        <f>IF($A641="",NA(),IF(R641&gt;0,0.5-(K641-L641)/(2*R641),0))</f>
        <v/>
      </c>
      <c r="T641" s="34">
        <f>IF($A641="",NA(),IF(R641&lt;=0,IF(K641&gt;L641,1,IF(K641&lt;L641,0,0.5)),1-NORMDIST(S641,P641+AJUSTE,SIGMA,TRUE)))</f>
        <v/>
      </c>
      <c r="U641" s="34">
        <f>IF($A641="",NA(),1-T641)</f>
        <v/>
      </c>
    </row>
    <row r="642"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3" t="n"/>
      <c r="N642" s="34">
        <f>IF($A642="",NA(),IF(C642&gt;0,D642/C642,0))</f>
        <v/>
      </c>
      <c r="O642" s="34">
        <f>IF($A642="",NA(),IF(E642&gt;0,F642/E642,0))</f>
        <v/>
      </c>
      <c r="P642" s="34">
        <f>IF($A642="",NA(),IF(K642+L642&gt;0,K642/(K642+L642),0.5))</f>
        <v/>
      </c>
      <c r="Q642" s="34">
        <f>IF($A642="",NA(),1-P642)</f>
        <v/>
      </c>
      <c r="R642" s="33">
        <f>IF($A642="",NA(),MAX(0,E642-F642)*IF(G642&gt;0,H642/G642,COMPAREC_PAD)*IF(I642&gt;0,J642/I642,VALIDOS_PAD))</f>
        <v/>
      </c>
      <c r="S642" s="34">
        <f>IF($A642="",NA(),IF(R642&gt;0,0.5-(K642-L642)/(2*R642),0))</f>
        <v/>
      </c>
      <c r="T642" s="34">
        <f>IF($A642="",NA(),IF(R642&lt;=0,IF(K642&gt;L642,1,IF(K642&lt;L642,0,0.5)),1-NORMDIST(S642,P642+AJUSTE,SIGMA,TRUE)))</f>
        <v/>
      </c>
      <c r="U642" s="34">
        <f>IF($A642="",NA(),1-T642)</f>
        <v/>
      </c>
    </row>
    <row r="643">
      <c r="C643" s="33" t="n"/>
      <c r="D643" s="33" t="n"/>
      <c r="E643" s="33" t="n"/>
      <c r="F643" s="33" t="n"/>
      <c r="G643" s="33" t="n"/>
      <c r="H643" s="33" t="n"/>
      <c r="I643" s="33" t="n"/>
      <c r="J643" s="33" t="n"/>
      <c r="K643" s="33" t="n"/>
      <c r="L643" s="33" t="n"/>
      <c r="N643" s="34">
        <f>IF($A643="",NA(),IF(C643&gt;0,D643/C643,0))</f>
        <v/>
      </c>
      <c r="O643" s="34">
        <f>IF($A643="",NA(),IF(E643&gt;0,F643/E643,0))</f>
        <v/>
      </c>
      <c r="P643" s="34">
        <f>IF($A643="",NA(),IF(K643+L643&gt;0,K643/(K643+L643),0.5))</f>
        <v/>
      </c>
      <c r="Q643" s="34">
        <f>IF($A643="",NA(),1-P643)</f>
        <v/>
      </c>
      <c r="R643" s="33">
        <f>IF($A643="",NA(),MAX(0,E643-F643)*IF(G643&gt;0,H643/G643,COMPAREC_PAD)*IF(I643&gt;0,J643/I643,VALIDOS_PAD))</f>
        <v/>
      </c>
      <c r="S643" s="34">
        <f>IF($A643="",NA(),IF(R643&gt;0,0.5-(K643-L643)/(2*R643),0))</f>
        <v/>
      </c>
      <c r="T643" s="34">
        <f>IF($A643="",NA(),IF(R643&lt;=0,IF(K643&gt;L643,1,IF(K643&lt;L643,0,0.5)),1-NORMDIST(S643,P643+AJUSTE,SIGMA,TRUE)))</f>
        <v/>
      </c>
      <c r="U643" s="34">
        <f>IF($A643="",NA(),1-T643)</f>
        <v/>
      </c>
    </row>
    <row r="644"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3" t="n"/>
      <c r="N644" s="34">
        <f>IF($A644="",NA(),IF(C644&gt;0,D644/C644,0))</f>
        <v/>
      </c>
      <c r="O644" s="34">
        <f>IF($A644="",NA(),IF(E644&gt;0,F644/E644,0))</f>
        <v/>
      </c>
      <c r="P644" s="34">
        <f>IF($A644="",NA(),IF(K644+L644&gt;0,K644/(K644+L644),0.5))</f>
        <v/>
      </c>
      <c r="Q644" s="34">
        <f>IF($A644="",NA(),1-P644)</f>
        <v/>
      </c>
      <c r="R644" s="33">
        <f>IF($A644="",NA(),MAX(0,E644-F644)*IF(G644&gt;0,H644/G644,COMPAREC_PAD)*IF(I644&gt;0,J644/I644,VALIDOS_PAD))</f>
        <v/>
      </c>
      <c r="S644" s="34">
        <f>IF($A644="",NA(),IF(R644&gt;0,0.5-(K644-L644)/(2*R644),0))</f>
        <v/>
      </c>
      <c r="T644" s="34">
        <f>IF($A644="",NA(),IF(R644&lt;=0,IF(K644&gt;L644,1,IF(K644&lt;L644,0,0.5)),1-NORMDIST(S644,P644+AJUSTE,SIGMA,TRUE)))</f>
        <v/>
      </c>
      <c r="U644" s="34">
        <f>IF($A644="",NA(),1-T644)</f>
        <v/>
      </c>
    </row>
    <row r="645"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n"/>
      <c r="L645" s="33" t="n"/>
      <c r="N645" s="34">
        <f>IF($A645="",NA(),IF(C645&gt;0,D645/C645,0))</f>
        <v/>
      </c>
      <c r="O645" s="34">
        <f>IF($A645="",NA(),IF(E645&gt;0,F645/E645,0))</f>
        <v/>
      </c>
      <c r="P645" s="34">
        <f>IF($A645="",NA(),IF(K645+L645&gt;0,K645/(K645+L645),0.5))</f>
        <v/>
      </c>
      <c r="Q645" s="34">
        <f>IF($A645="",NA(),1-P645)</f>
        <v/>
      </c>
      <c r="R645" s="33">
        <f>IF($A645="",NA(),MAX(0,E645-F645)*IF(G645&gt;0,H645/G645,COMPAREC_PAD)*IF(I645&gt;0,J645/I645,VALIDOS_PAD))</f>
        <v/>
      </c>
      <c r="S645" s="34">
        <f>IF($A645="",NA(),IF(R645&gt;0,0.5-(K645-L645)/(2*R645),0))</f>
        <v/>
      </c>
      <c r="T645" s="34">
        <f>IF($A645="",NA(),IF(R645&lt;=0,IF(K645&gt;L645,1,IF(K645&lt;L645,0,0.5)),1-NORMDIST(S645,P645+AJUSTE,SIGMA,TRUE)))</f>
        <v/>
      </c>
      <c r="U645" s="34">
        <f>IF($A645="",NA(),1-T645)</f>
        <v/>
      </c>
    </row>
    <row r="646"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3" t="n"/>
      <c r="N646" s="34">
        <f>IF($A646="",NA(),IF(C646&gt;0,D646/C646,0))</f>
        <v/>
      </c>
      <c r="O646" s="34">
        <f>IF($A646="",NA(),IF(E646&gt;0,F646/E646,0))</f>
        <v/>
      </c>
      <c r="P646" s="34">
        <f>IF($A646="",NA(),IF(K646+L646&gt;0,K646/(K646+L646),0.5))</f>
        <v/>
      </c>
      <c r="Q646" s="34">
        <f>IF($A646="",NA(),1-P646)</f>
        <v/>
      </c>
      <c r="R646" s="33">
        <f>IF($A646="",NA(),MAX(0,E646-F646)*IF(G646&gt;0,H646/G646,COMPAREC_PAD)*IF(I646&gt;0,J646/I646,VALIDOS_PAD))</f>
        <v/>
      </c>
      <c r="S646" s="34">
        <f>IF($A646="",NA(),IF(R646&gt;0,0.5-(K646-L646)/(2*R646),0))</f>
        <v/>
      </c>
      <c r="T646" s="34">
        <f>IF($A646="",NA(),IF(R646&lt;=0,IF(K646&gt;L646,1,IF(K646&lt;L646,0,0.5)),1-NORMDIST(S646,P646+AJUSTE,SIGMA,TRUE)))</f>
        <v/>
      </c>
      <c r="U646" s="34">
        <f>IF($A646="",NA(),1-T646)</f>
        <v/>
      </c>
    </row>
    <row r="647">
      <c r="C647" s="33" t="n"/>
      <c r="D647" s="33" t="n"/>
      <c r="E647" s="33" t="n"/>
      <c r="F647" s="33" t="n"/>
      <c r="G647" s="33" t="n"/>
      <c r="H647" s="33" t="n"/>
      <c r="I647" s="33" t="n"/>
      <c r="J647" s="33" t="n"/>
      <c r="K647" s="33" t="n"/>
      <c r="L647" s="33" t="n"/>
      <c r="N647" s="34">
        <f>IF($A647="",NA(),IF(C647&gt;0,D647/C647,0))</f>
        <v/>
      </c>
      <c r="O647" s="34">
        <f>IF($A647="",NA(),IF(E647&gt;0,F647/E647,0))</f>
        <v/>
      </c>
      <c r="P647" s="34">
        <f>IF($A647="",NA(),IF(K647+L647&gt;0,K647/(K647+L647),0.5))</f>
        <v/>
      </c>
      <c r="Q647" s="34">
        <f>IF($A647="",NA(),1-P647)</f>
        <v/>
      </c>
      <c r="R647" s="33">
        <f>IF($A647="",NA(),MAX(0,E647-F647)*IF(G647&gt;0,H647/G647,COMPAREC_PAD)*IF(I647&gt;0,J647/I647,VALIDOS_PAD))</f>
        <v/>
      </c>
      <c r="S647" s="34">
        <f>IF($A647="",NA(),IF(R647&gt;0,0.5-(K647-L647)/(2*R647),0))</f>
        <v/>
      </c>
      <c r="T647" s="34">
        <f>IF($A647="",NA(),IF(R647&lt;=0,IF(K647&gt;L647,1,IF(K647&lt;L647,0,0.5)),1-NORMDIST(S647,P647+AJUSTE,SIGMA,TRUE)))</f>
        <v/>
      </c>
      <c r="U647" s="34">
        <f>IF($A647="",NA(),1-T647)</f>
        <v/>
      </c>
    </row>
    <row r="648"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3" t="n"/>
      <c r="N648" s="34">
        <f>IF($A648="",NA(),IF(C648&gt;0,D648/C648,0))</f>
        <v/>
      </c>
      <c r="O648" s="34">
        <f>IF($A648="",NA(),IF(E648&gt;0,F648/E648,0))</f>
        <v/>
      </c>
      <c r="P648" s="34">
        <f>IF($A648="",NA(),IF(K648+L648&gt;0,K648/(K648+L648),0.5))</f>
        <v/>
      </c>
      <c r="Q648" s="34">
        <f>IF($A648="",NA(),1-P648)</f>
        <v/>
      </c>
      <c r="R648" s="33">
        <f>IF($A648="",NA(),MAX(0,E648-F648)*IF(G648&gt;0,H648/G648,COMPAREC_PAD)*IF(I648&gt;0,J648/I648,VALIDOS_PAD))</f>
        <v/>
      </c>
      <c r="S648" s="34">
        <f>IF($A648="",NA(),IF(R648&gt;0,0.5-(K648-L648)/(2*R648),0))</f>
        <v/>
      </c>
      <c r="T648" s="34">
        <f>IF($A648="",NA(),IF(R648&lt;=0,IF(K648&gt;L648,1,IF(K648&lt;L648,0,0.5)),1-NORMDIST(S648,P648+AJUSTE,SIGMA,TRUE)))</f>
        <v/>
      </c>
      <c r="U648" s="34">
        <f>IF($A648="",NA(),1-T648)</f>
        <v/>
      </c>
    </row>
    <row r="649"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n"/>
      <c r="L649" s="33" t="n"/>
      <c r="N649" s="34">
        <f>IF($A649="",NA(),IF(C649&gt;0,D649/C649,0))</f>
        <v/>
      </c>
      <c r="O649" s="34">
        <f>IF($A649="",NA(),IF(E649&gt;0,F649/E649,0))</f>
        <v/>
      </c>
      <c r="P649" s="34">
        <f>IF($A649="",NA(),IF(K649+L649&gt;0,K649/(K649+L649),0.5))</f>
        <v/>
      </c>
      <c r="Q649" s="34">
        <f>IF($A649="",NA(),1-P649)</f>
        <v/>
      </c>
      <c r="R649" s="33">
        <f>IF($A649="",NA(),MAX(0,E649-F649)*IF(G649&gt;0,H649/G649,COMPAREC_PAD)*IF(I649&gt;0,J649/I649,VALIDOS_PAD))</f>
        <v/>
      </c>
      <c r="S649" s="34">
        <f>IF($A649="",NA(),IF(R649&gt;0,0.5-(K649-L649)/(2*R649),0))</f>
        <v/>
      </c>
      <c r="T649" s="34">
        <f>IF($A649="",NA(),IF(R649&lt;=0,IF(K649&gt;L649,1,IF(K649&lt;L649,0,0.5)),1-NORMDIST(S649,P649+AJUSTE,SIGMA,TRUE)))</f>
        <v/>
      </c>
      <c r="U649" s="34">
        <f>IF($A649="",NA(),1-T649)</f>
        <v/>
      </c>
    </row>
    <row r="650"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3" t="n"/>
      <c r="N650" s="34">
        <f>IF($A650="",NA(),IF(C650&gt;0,D650/C650,0))</f>
        <v/>
      </c>
      <c r="O650" s="34">
        <f>IF($A650="",NA(),IF(E650&gt;0,F650/E650,0))</f>
        <v/>
      </c>
      <c r="P650" s="34">
        <f>IF($A650="",NA(),IF(K650+L650&gt;0,K650/(K650+L650),0.5))</f>
        <v/>
      </c>
      <c r="Q650" s="34">
        <f>IF($A650="",NA(),1-P650)</f>
        <v/>
      </c>
      <c r="R650" s="33">
        <f>IF($A650="",NA(),MAX(0,E650-F650)*IF(G650&gt;0,H650/G650,COMPAREC_PAD)*IF(I650&gt;0,J650/I650,VALIDOS_PAD))</f>
        <v/>
      </c>
      <c r="S650" s="34">
        <f>IF($A650="",NA(),IF(R650&gt;0,0.5-(K650-L650)/(2*R650),0))</f>
        <v/>
      </c>
      <c r="T650" s="34">
        <f>IF($A650="",NA(),IF(R650&lt;=0,IF(K650&gt;L650,1,IF(K650&lt;L650,0,0.5)),1-NORMDIST(S650,P650+AJUSTE,SIGMA,TRUE)))</f>
        <v/>
      </c>
      <c r="U650" s="34">
        <f>IF($A650="",NA(),1-T650)</f>
        <v/>
      </c>
    </row>
    <row r="651">
      <c r="C651" s="33" t="n"/>
      <c r="D651" s="33" t="n"/>
      <c r="E651" s="33" t="n"/>
      <c r="F651" s="33" t="n"/>
      <c r="G651" s="33" t="n"/>
      <c r="H651" s="33" t="n"/>
      <c r="I651" s="33" t="n"/>
      <c r="J651" s="33" t="n"/>
      <c r="K651" s="33" t="n"/>
      <c r="L651" s="33" t="n"/>
      <c r="N651" s="34">
        <f>IF($A651="",NA(),IF(C651&gt;0,D651/C651,0))</f>
        <v/>
      </c>
      <c r="O651" s="34">
        <f>IF($A651="",NA(),IF(E651&gt;0,F651/E651,0))</f>
        <v/>
      </c>
      <c r="P651" s="34">
        <f>IF($A651="",NA(),IF(K651+L651&gt;0,K651/(K651+L651),0.5))</f>
        <v/>
      </c>
      <c r="Q651" s="34">
        <f>IF($A651="",NA(),1-P651)</f>
        <v/>
      </c>
      <c r="R651" s="33">
        <f>IF($A651="",NA(),MAX(0,E651-F651)*IF(G651&gt;0,H651/G651,COMPAREC_PAD)*IF(I651&gt;0,J651/I651,VALIDOS_PAD))</f>
        <v/>
      </c>
      <c r="S651" s="34">
        <f>IF($A651="",NA(),IF(R651&gt;0,0.5-(K651-L651)/(2*R651),0))</f>
        <v/>
      </c>
      <c r="T651" s="34">
        <f>IF($A651="",NA(),IF(R651&lt;=0,IF(K651&gt;L651,1,IF(K651&lt;L651,0,0.5)),1-NORMDIST(S651,P651+AJUSTE,SIGMA,TRUE)))</f>
        <v/>
      </c>
      <c r="U651" s="34">
        <f>IF($A651="",NA(),1-T651)</f>
        <v/>
      </c>
    </row>
    <row r="652"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3" t="n"/>
      <c r="N652" s="34">
        <f>IF($A652="",NA(),IF(C652&gt;0,D652/C652,0))</f>
        <v/>
      </c>
      <c r="O652" s="34">
        <f>IF($A652="",NA(),IF(E652&gt;0,F652/E652,0))</f>
        <v/>
      </c>
      <c r="P652" s="34">
        <f>IF($A652="",NA(),IF(K652+L652&gt;0,K652/(K652+L652),0.5))</f>
        <v/>
      </c>
      <c r="Q652" s="34">
        <f>IF($A652="",NA(),1-P652)</f>
        <v/>
      </c>
      <c r="R652" s="33">
        <f>IF($A652="",NA(),MAX(0,E652-F652)*IF(G652&gt;0,H652/G652,COMPAREC_PAD)*IF(I652&gt;0,J652/I652,VALIDOS_PAD))</f>
        <v/>
      </c>
      <c r="S652" s="34">
        <f>IF($A652="",NA(),IF(R652&gt;0,0.5-(K652-L652)/(2*R652),0))</f>
        <v/>
      </c>
      <c r="T652" s="34">
        <f>IF($A652="",NA(),IF(R652&lt;=0,IF(K652&gt;L652,1,IF(K652&lt;L652,0,0.5)),1-NORMDIST(S652,P652+AJUSTE,SIGMA,TRUE)))</f>
        <v/>
      </c>
      <c r="U652" s="34">
        <f>IF($A652="",NA(),1-T652)</f>
        <v/>
      </c>
    </row>
    <row r="653">
      <c r="C653" s="33" t="n"/>
      <c r="D653" s="33" t="n"/>
      <c r="E653" s="33" t="n"/>
      <c r="F653" s="33" t="n"/>
      <c r="G653" s="33" t="n"/>
      <c r="H653" s="33" t="n"/>
      <c r="I653" s="33" t="n"/>
      <c r="J653" s="33" t="n"/>
      <c r="K653" s="33" t="n"/>
      <c r="L653" s="33" t="n"/>
      <c r="N653" s="34">
        <f>IF($A653="",NA(),IF(C653&gt;0,D653/C653,0))</f>
        <v/>
      </c>
      <c r="O653" s="34">
        <f>IF($A653="",NA(),IF(E653&gt;0,F653/E653,0))</f>
        <v/>
      </c>
      <c r="P653" s="34">
        <f>IF($A653="",NA(),IF(K653+L653&gt;0,K653/(K653+L653),0.5))</f>
        <v/>
      </c>
      <c r="Q653" s="34">
        <f>IF($A653="",NA(),1-P653)</f>
        <v/>
      </c>
      <c r="R653" s="33">
        <f>IF($A653="",NA(),MAX(0,E653-F653)*IF(G653&gt;0,H653/G653,COMPAREC_PAD)*IF(I653&gt;0,J653/I653,VALIDOS_PAD))</f>
        <v/>
      </c>
      <c r="S653" s="34">
        <f>IF($A653="",NA(),IF(R653&gt;0,0.5-(K653-L653)/(2*R653),0))</f>
        <v/>
      </c>
      <c r="T653" s="34">
        <f>IF($A653="",NA(),IF(R653&lt;=0,IF(K653&gt;L653,1,IF(K653&lt;L653,0,0.5)),1-NORMDIST(S653,P653+AJUSTE,SIGMA,TRUE)))</f>
        <v/>
      </c>
      <c r="U653" s="34">
        <f>IF($A653="",NA(),1-T653)</f>
        <v/>
      </c>
    </row>
    <row r="654"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3" t="n"/>
      <c r="N654" s="34">
        <f>IF($A654="",NA(),IF(C654&gt;0,D654/C654,0))</f>
        <v/>
      </c>
      <c r="O654" s="34">
        <f>IF($A654="",NA(),IF(E654&gt;0,F654/E654,0))</f>
        <v/>
      </c>
      <c r="P654" s="34">
        <f>IF($A654="",NA(),IF(K654+L654&gt;0,K654/(K654+L654),0.5))</f>
        <v/>
      </c>
      <c r="Q654" s="34">
        <f>IF($A654="",NA(),1-P654)</f>
        <v/>
      </c>
      <c r="R654" s="33">
        <f>IF($A654="",NA(),MAX(0,E654-F654)*IF(G654&gt;0,H654/G654,COMPAREC_PAD)*IF(I654&gt;0,J654/I654,VALIDOS_PAD))</f>
        <v/>
      </c>
      <c r="S654" s="34">
        <f>IF($A654="",NA(),IF(R654&gt;0,0.5-(K654-L654)/(2*R654),0))</f>
        <v/>
      </c>
      <c r="T654" s="34">
        <f>IF($A654="",NA(),IF(R654&lt;=0,IF(K654&gt;L654,1,IF(K654&lt;L654,0,0.5)),1-NORMDIST(S654,P654+AJUSTE,SIGMA,TRUE)))</f>
        <v/>
      </c>
      <c r="U654" s="34">
        <f>IF($A654="",NA(),1-T654)</f>
        <v/>
      </c>
    </row>
    <row r="655"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n"/>
      <c r="L655" s="33" t="n"/>
      <c r="N655" s="34">
        <f>IF($A655="",NA(),IF(C655&gt;0,D655/C655,0))</f>
        <v/>
      </c>
      <c r="O655" s="34">
        <f>IF($A655="",NA(),IF(E655&gt;0,F655/E655,0))</f>
        <v/>
      </c>
      <c r="P655" s="34">
        <f>IF($A655="",NA(),IF(K655+L655&gt;0,K655/(K655+L655),0.5))</f>
        <v/>
      </c>
      <c r="Q655" s="34">
        <f>IF($A655="",NA(),1-P655)</f>
        <v/>
      </c>
      <c r="R655" s="33">
        <f>IF($A655="",NA(),MAX(0,E655-F655)*IF(G655&gt;0,H655/G655,COMPAREC_PAD)*IF(I655&gt;0,J655/I655,VALIDOS_PAD))</f>
        <v/>
      </c>
      <c r="S655" s="34">
        <f>IF($A655="",NA(),IF(R655&gt;0,0.5-(K655-L655)/(2*R655),0))</f>
        <v/>
      </c>
      <c r="T655" s="34">
        <f>IF($A655="",NA(),IF(R655&lt;=0,IF(K655&gt;L655,1,IF(K655&lt;L655,0,0.5)),1-NORMDIST(S655,P655+AJUSTE,SIGMA,TRUE)))</f>
        <v/>
      </c>
      <c r="U655" s="34">
        <f>IF($A655="",NA(),1-T655)</f>
        <v/>
      </c>
    </row>
    <row r="656"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3" t="n"/>
      <c r="N656" s="34">
        <f>IF($A656="",NA(),IF(C656&gt;0,D656/C656,0))</f>
        <v/>
      </c>
      <c r="O656" s="34">
        <f>IF($A656="",NA(),IF(E656&gt;0,F656/E656,0))</f>
        <v/>
      </c>
      <c r="P656" s="34">
        <f>IF($A656="",NA(),IF(K656+L656&gt;0,K656/(K656+L656),0.5))</f>
        <v/>
      </c>
      <c r="Q656" s="34">
        <f>IF($A656="",NA(),1-P656)</f>
        <v/>
      </c>
      <c r="R656" s="33">
        <f>IF($A656="",NA(),MAX(0,E656-F656)*IF(G656&gt;0,H656/G656,COMPAREC_PAD)*IF(I656&gt;0,J656/I656,VALIDOS_PAD))</f>
        <v/>
      </c>
      <c r="S656" s="34">
        <f>IF($A656="",NA(),IF(R656&gt;0,0.5-(K656-L656)/(2*R656),0))</f>
        <v/>
      </c>
      <c r="T656" s="34">
        <f>IF($A656="",NA(),IF(R656&lt;=0,IF(K656&gt;L656,1,IF(K656&lt;L656,0,0.5)),1-NORMDIST(S656,P656+AJUSTE,SIGMA,TRUE)))</f>
        <v/>
      </c>
      <c r="U656" s="34">
        <f>IF($A656="",NA(),1-T656)</f>
        <v/>
      </c>
    </row>
    <row r="657">
      <c r="C657" s="33" t="n"/>
      <c r="D657" s="33" t="n"/>
      <c r="E657" s="33" t="n"/>
      <c r="F657" s="33" t="n"/>
      <c r="G657" s="33" t="n"/>
      <c r="H657" s="33" t="n"/>
      <c r="I657" s="33" t="n"/>
      <c r="J657" s="33" t="n"/>
      <c r="K657" s="33" t="n"/>
      <c r="L657" s="33" t="n"/>
      <c r="N657" s="34">
        <f>IF($A657="",NA(),IF(C657&gt;0,D657/C657,0))</f>
        <v/>
      </c>
      <c r="O657" s="34">
        <f>IF($A657="",NA(),IF(E657&gt;0,F657/E657,0))</f>
        <v/>
      </c>
      <c r="P657" s="34">
        <f>IF($A657="",NA(),IF(K657+L657&gt;0,K657/(K657+L657),0.5))</f>
        <v/>
      </c>
      <c r="Q657" s="34">
        <f>IF($A657="",NA(),1-P657)</f>
        <v/>
      </c>
      <c r="R657" s="33">
        <f>IF($A657="",NA(),MAX(0,E657-F657)*IF(G657&gt;0,H657/G657,COMPAREC_PAD)*IF(I657&gt;0,J657/I657,VALIDOS_PAD))</f>
        <v/>
      </c>
      <c r="S657" s="34">
        <f>IF($A657="",NA(),IF(R657&gt;0,0.5-(K657-L657)/(2*R657),0))</f>
        <v/>
      </c>
      <c r="T657" s="34">
        <f>IF($A657="",NA(),IF(R657&lt;=0,IF(K657&gt;L657,1,IF(K657&lt;L657,0,0.5)),1-NORMDIST(S657,P657+AJUSTE,SIGMA,TRUE)))</f>
        <v/>
      </c>
      <c r="U657" s="34">
        <f>IF($A657="",NA(),1-T657)</f>
        <v/>
      </c>
    </row>
    <row r="658"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3" t="n"/>
      <c r="N658" s="34">
        <f>IF($A658="",NA(),IF(C658&gt;0,D658/C658,0))</f>
        <v/>
      </c>
      <c r="O658" s="34">
        <f>IF($A658="",NA(),IF(E658&gt;0,F658/E658,0))</f>
        <v/>
      </c>
      <c r="P658" s="34">
        <f>IF($A658="",NA(),IF(K658+L658&gt;0,K658/(K658+L658),0.5))</f>
        <v/>
      </c>
      <c r="Q658" s="34">
        <f>IF($A658="",NA(),1-P658)</f>
        <v/>
      </c>
      <c r="R658" s="33">
        <f>IF($A658="",NA(),MAX(0,E658-F658)*IF(G658&gt;0,H658/G658,COMPAREC_PAD)*IF(I658&gt;0,J658/I658,VALIDOS_PAD))</f>
        <v/>
      </c>
      <c r="S658" s="34">
        <f>IF($A658="",NA(),IF(R658&gt;0,0.5-(K658-L658)/(2*R658),0))</f>
        <v/>
      </c>
      <c r="T658" s="34">
        <f>IF($A658="",NA(),IF(R658&lt;=0,IF(K658&gt;L658,1,IF(K658&lt;L658,0,0.5)),1-NORMDIST(S658,P658+AJUSTE,SIGMA,TRUE)))</f>
        <v/>
      </c>
      <c r="U658" s="34">
        <f>IF($A658="",NA(),1-T658)</f>
        <v/>
      </c>
    </row>
    <row r="659">
      <c r="C659" s="33" t="n"/>
      <c r="D659" s="33" t="n"/>
      <c r="E659" s="33" t="n"/>
      <c r="F659" s="33" t="n"/>
      <c r="G659" s="33" t="n"/>
      <c r="H659" s="33" t="n"/>
      <c r="I659" s="33" t="n"/>
      <c r="J659" s="33" t="n"/>
      <c r="K659" s="33" t="n"/>
      <c r="L659" s="33" t="n"/>
      <c r="N659" s="34">
        <f>IF($A659="",NA(),IF(C659&gt;0,D659/C659,0))</f>
        <v/>
      </c>
      <c r="O659" s="34">
        <f>IF($A659="",NA(),IF(E659&gt;0,F659/E659,0))</f>
        <v/>
      </c>
      <c r="P659" s="34">
        <f>IF($A659="",NA(),IF(K659+L659&gt;0,K659/(K659+L659),0.5))</f>
        <v/>
      </c>
      <c r="Q659" s="34">
        <f>IF($A659="",NA(),1-P659)</f>
        <v/>
      </c>
      <c r="R659" s="33">
        <f>IF($A659="",NA(),MAX(0,E659-F659)*IF(G659&gt;0,H659/G659,COMPAREC_PAD)*IF(I659&gt;0,J659/I659,VALIDOS_PAD))</f>
        <v/>
      </c>
      <c r="S659" s="34">
        <f>IF($A659="",NA(),IF(R659&gt;0,0.5-(K659-L659)/(2*R659),0))</f>
        <v/>
      </c>
      <c r="T659" s="34">
        <f>IF($A659="",NA(),IF(R659&lt;=0,IF(K659&gt;L659,1,IF(K659&lt;L659,0,0.5)),1-NORMDIST(S659,P659+AJUSTE,SIGMA,TRUE)))</f>
        <v/>
      </c>
      <c r="U659" s="34">
        <f>IF($A659="",NA(),1-T659)</f>
        <v/>
      </c>
    </row>
    <row r="660"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3" t="n"/>
      <c r="N660" s="34">
        <f>IF($A660="",NA(),IF(C660&gt;0,D660/C660,0))</f>
        <v/>
      </c>
      <c r="O660" s="34">
        <f>IF($A660="",NA(),IF(E660&gt;0,F660/E660,0))</f>
        <v/>
      </c>
      <c r="P660" s="34">
        <f>IF($A660="",NA(),IF(K660+L660&gt;0,K660/(K660+L660),0.5))</f>
        <v/>
      </c>
      <c r="Q660" s="34">
        <f>IF($A660="",NA(),1-P660)</f>
        <v/>
      </c>
      <c r="R660" s="33">
        <f>IF($A660="",NA(),MAX(0,E660-F660)*IF(G660&gt;0,H660/G660,COMPAREC_PAD)*IF(I660&gt;0,J660/I660,VALIDOS_PAD))</f>
        <v/>
      </c>
      <c r="S660" s="34">
        <f>IF($A660="",NA(),IF(R660&gt;0,0.5-(K660-L660)/(2*R660),0))</f>
        <v/>
      </c>
      <c r="T660" s="34">
        <f>IF($A660="",NA(),IF(R660&lt;=0,IF(K660&gt;L660,1,IF(K660&lt;L660,0,0.5)),1-NORMDIST(S660,P660+AJUSTE,SIGMA,TRUE)))</f>
        <v/>
      </c>
      <c r="U660" s="34">
        <f>IF($A660="",NA(),1-T660)</f>
        <v/>
      </c>
    </row>
    <row r="661">
      <c r="C661" s="33" t="n"/>
      <c r="D661" s="33" t="n"/>
      <c r="E661" s="33" t="n"/>
      <c r="F661" s="33" t="n"/>
      <c r="G661" s="33" t="n"/>
      <c r="H661" s="33" t="n"/>
      <c r="I661" s="33" t="n"/>
      <c r="J661" s="33" t="n"/>
      <c r="K661" s="33" t="n"/>
      <c r="L661" s="33" t="n"/>
      <c r="N661" s="34">
        <f>IF($A661="",NA(),IF(C661&gt;0,D661/C661,0))</f>
        <v/>
      </c>
      <c r="O661" s="34">
        <f>IF($A661="",NA(),IF(E661&gt;0,F661/E661,0))</f>
        <v/>
      </c>
      <c r="P661" s="34">
        <f>IF($A661="",NA(),IF(K661+L661&gt;0,K661/(K661+L661),0.5))</f>
        <v/>
      </c>
      <c r="Q661" s="34">
        <f>IF($A661="",NA(),1-P661)</f>
        <v/>
      </c>
      <c r="R661" s="33">
        <f>IF($A661="",NA(),MAX(0,E661-F661)*IF(G661&gt;0,H661/G661,COMPAREC_PAD)*IF(I661&gt;0,J661/I661,VALIDOS_PAD))</f>
        <v/>
      </c>
      <c r="S661" s="34">
        <f>IF($A661="",NA(),IF(R661&gt;0,0.5-(K661-L661)/(2*R661),0))</f>
        <v/>
      </c>
      <c r="T661" s="34">
        <f>IF($A661="",NA(),IF(R661&lt;=0,IF(K661&gt;L661,1,IF(K661&lt;L661,0,0.5)),1-NORMDIST(S661,P661+AJUSTE,SIGMA,TRUE)))</f>
        <v/>
      </c>
      <c r="U661" s="34">
        <f>IF($A661="",NA(),1-T661)</f>
        <v/>
      </c>
    </row>
    <row r="662"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3" t="n"/>
      <c r="N662" s="34">
        <f>IF($A662="",NA(),IF(C662&gt;0,D662/C662,0))</f>
        <v/>
      </c>
      <c r="O662" s="34">
        <f>IF($A662="",NA(),IF(E662&gt;0,F662/E662,0))</f>
        <v/>
      </c>
      <c r="P662" s="34">
        <f>IF($A662="",NA(),IF(K662+L662&gt;0,K662/(K662+L662),0.5))</f>
        <v/>
      </c>
      <c r="Q662" s="34">
        <f>IF($A662="",NA(),1-P662)</f>
        <v/>
      </c>
      <c r="R662" s="33">
        <f>IF($A662="",NA(),MAX(0,E662-F662)*IF(G662&gt;0,H662/G662,COMPAREC_PAD)*IF(I662&gt;0,J662/I662,VALIDOS_PAD))</f>
        <v/>
      </c>
      <c r="S662" s="34">
        <f>IF($A662="",NA(),IF(R662&gt;0,0.5-(K662-L662)/(2*R662),0))</f>
        <v/>
      </c>
      <c r="T662" s="34">
        <f>IF($A662="",NA(),IF(R662&lt;=0,IF(K662&gt;L662,1,IF(K662&lt;L662,0,0.5)),1-NORMDIST(S662,P662+AJUSTE,SIGMA,TRUE)))</f>
        <v/>
      </c>
      <c r="U662" s="34">
        <f>IF($A662="",NA(),1-T662)</f>
        <v/>
      </c>
    </row>
    <row r="663">
      <c r="C663" s="33" t="n"/>
      <c r="D663" s="33" t="n"/>
      <c r="E663" s="33" t="n"/>
      <c r="F663" s="33" t="n"/>
      <c r="G663" s="33" t="n"/>
      <c r="H663" s="33" t="n"/>
      <c r="I663" s="33" t="n"/>
      <c r="J663" s="33" t="n"/>
      <c r="K663" s="33" t="n"/>
      <c r="L663" s="33" t="n"/>
      <c r="N663" s="34">
        <f>IF($A663="",NA(),IF(C663&gt;0,D663/C663,0))</f>
        <v/>
      </c>
      <c r="O663" s="34">
        <f>IF($A663="",NA(),IF(E663&gt;0,F663/E663,0))</f>
        <v/>
      </c>
      <c r="P663" s="34">
        <f>IF($A663="",NA(),IF(K663+L663&gt;0,K663/(K663+L663),0.5))</f>
        <v/>
      </c>
      <c r="Q663" s="34">
        <f>IF($A663="",NA(),1-P663)</f>
        <v/>
      </c>
      <c r="R663" s="33">
        <f>IF($A663="",NA(),MAX(0,E663-F663)*IF(G663&gt;0,H663/G663,COMPAREC_PAD)*IF(I663&gt;0,J663/I663,VALIDOS_PAD))</f>
        <v/>
      </c>
      <c r="S663" s="34">
        <f>IF($A663="",NA(),IF(R663&gt;0,0.5-(K663-L663)/(2*R663),0))</f>
        <v/>
      </c>
      <c r="T663" s="34">
        <f>IF($A663="",NA(),IF(R663&lt;=0,IF(K663&gt;L663,1,IF(K663&lt;L663,0,0.5)),1-NORMDIST(S663,P663+AJUSTE,SIGMA,TRUE)))</f>
        <v/>
      </c>
      <c r="U663" s="34">
        <f>IF($A663="",NA(),1-T663)</f>
        <v/>
      </c>
    </row>
    <row r="664"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3" t="n"/>
      <c r="N664" s="34">
        <f>IF($A664="",NA(),IF(C664&gt;0,D664/C664,0))</f>
        <v/>
      </c>
      <c r="O664" s="34">
        <f>IF($A664="",NA(),IF(E664&gt;0,F664/E664,0))</f>
        <v/>
      </c>
      <c r="P664" s="34">
        <f>IF($A664="",NA(),IF(K664+L664&gt;0,K664/(K664+L664),0.5))</f>
        <v/>
      </c>
      <c r="Q664" s="34">
        <f>IF($A664="",NA(),1-P664)</f>
        <v/>
      </c>
      <c r="R664" s="33">
        <f>IF($A664="",NA(),MAX(0,E664-F664)*IF(G664&gt;0,H664/G664,COMPAREC_PAD)*IF(I664&gt;0,J664/I664,VALIDOS_PAD))</f>
        <v/>
      </c>
      <c r="S664" s="34">
        <f>IF($A664="",NA(),IF(R664&gt;0,0.5-(K664-L664)/(2*R664),0))</f>
        <v/>
      </c>
      <c r="T664" s="34">
        <f>IF($A664="",NA(),IF(R664&lt;=0,IF(K664&gt;L664,1,IF(K664&lt;L664,0,0.5)),1-NORMDIST(S664,P664+AJUSTE,SIGMA,TRUE)))</f>
        <v/>
      </c>
      <c r="U664" s="34">
        <f>IF($A664="",NA(),1-T664)</f>
        <v/>
      </c>
    </row>
    <row r="665">
      <c r="C665" s="33" t="n"/>
      <c r="D665" s="33" t="n"/>
      <c r="E665" s="33" t="n"/>
      <c r="F665" s="33" t="n"/>
      <c r="G665" s="33" t="n"/>
      <c r="H665" s="33" t="n"/>
      <c r="I665" s="33" t="n"/>
      <c r="J665" s="33" t="n"/>
      <c r="K665" s="33" t="n"/>
      <c r="L665" s="33" t="n"/>
      <c r="N665" s="34">
        <f>IF($A665="",NA(),IF(C665&gt;0,D665/C665,0))</f>
        <v/>
      </c>
      <c r="O665" s="34">
        <f>IF($A665="",NA(),IF(E665&gt;0,F665/E665,0))</f>
        <v/>
      </c>
      <c r="P665" s="34">
        <f>IF($A665="",NA(),IF(K665+L665&gt;0,K665/(K665+L665),0.5))</f>
        <v/>
      </c>
      <c r="Q665" s="34">
        <f>IF($A665="",NA(),1-P665)</f>
        <v/>
      </c>
      <c r="R665" s="33">
        <f>IF($A665="",NA(),MAX(0,E665-F665)*IF(G665&gt;0,H665/G665,COMPAREC_PAD)*IF(I665&gt;0,J665/I665,VALIDOS_PAD))</f>
        <v/>
      </c>
      <c r="S665" s="34">
        <f>IF($A665="",NA(),IF(R665&gt;0,0.5-(K665-L665)/(2*R665),0))</f>
        <v/>
      </c>
      <c r="T665" s="34">
        <f>IF($A665="",NA(),IF(R665&lt;=0,IF(K665&gt;L665,1,IF(K665&lt;L665,0,0.5)),1-NORMDIST(S665,P665+AJUSTE,SIGMA,TRUE)))</f>
        <v/>
      </c>
      <c r="U665" s="34">
        <f>IF($A665="",NA(),1-T665)</f>
        <v/>
      </c>
    </row>
    <row r="666"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3" t="n"/>
      <c r="N666" s="34">
        <f>IF($A666="",NA(),IF(C666&gt;0,D666/C666,0))</f>
        <v/>
      </c>
      <c r="O666" s="34">
        <f>IF($A666="",NA(),IF(E666&gt;0,F666/E666,0))</f>
        <v/>
      </c>
      <c r="P666" s="34">
        <f>IF($A666="",NA(),IF(K666+L666&gt;0,K666/(K666+L666),0.5))</f>
        <v/>
      </c>
      <c r="Q666" s="34">
        <f>IF($A666="",NA(),1-P666)</f>
        <v/>
      </c>
      <c r="R666" s="33">
        <f>IF($A666="",NA(),MAX(0,E666-F666)*IF(G666&gt;0,H666/G666,COMPAREC_PAD)*IF(I666&gt;0,J666/I666,VALIDOS_PAD))</f>
        <v/>
      </c>
      <c r="S666" s="34">
        <f>IF($A666="",NA(),IF(R666&gt;0,0.5-(K666-L666)/(2*R666),0))</f>
        <v/>
      </c>
      <c r="T666" s="34">
        <f>IF($A666="",NA(),IF(R666&lt;=0,IF(K666&gt;L666,1,IF(K666&lt;L666,0,0.5)),1-NORMDIST(S666,P666+AJUSTE,SIGMA,TRUE)))</f>
        <v/>
      </c>
      <c r="U666" s="34">
        <f>IF($A666="",NA(),1-T666)</f>
        <v/>
      </c>
    </row>
    <row r="667">
      <c r="C667" s="33" t="n"/>
      <c r="D667" s="33" t="n"/>
      <c r="E667" s="33" t="n"/>
      <c r="F667" s="33" t="n"/>
      <c r="G667" s="33" t="n"/>
      <c r="H667" s="33" t="n"/>
      <c r="I667" s="33" t="n"/>
      <c r="J667" s="33" t="n"/>
      <c r="K667" s="33" t="n"/>
      <c r="L667" s="33" t="n"/>
      <c r="N667" s="34">
        <f>IF($A667="",NA(),IF(C667&gt;0,D667/C667,0))</f>
        <v/>
      </c>
      <c r="O667" s="34">
        <f>IF($A667="",NA(),IF(E667&gt;0,F667/E667,0))</f>
        <v/>
      </c>
      <c r="P667" s="34">
        <f>IF($A667="",NA(),IF(K667+L667&gt;0,K667/(K667+L667),0.5))</f>
        <v/>
      </c>
      <c r="Q667" s="34">
        <f>IF($A667="",NA(),1-P667)</f>
        <v/>
      </c>
      <c r="R667" s="33">
        <f>IF($A667="",NA(),MAX(0,E667-F667)*IF(G667&gt;0,H667/G667,COMPAREC_PAD)*IF(I667&gt;0,J667/I667,VALIDOS_PAD))</f>
        <v/>
      </c>
      <c r="S667" s="34">
        <f>IF($A667="",NA(),IF(R667&gt;0,0.5-(K667-L667)/(2*R667),0))</f>
        <v/>
      </c>
      <c r="T667" s="34">
        <f>IF($A667="",NA(),IF(R667&lt;=0,IF(K667&gt;L667,1,IF(K667&lt;L667,0,0.5)),1-NORMDIST(S667,P667+AJUSTE,SIGMA,TRUE)))</f>
        <v/>
      </c>
      <c r="U667" s="34">
        <f>IF($A667="",NA(),1-T667)</f>
        <v/>
      </c>
    </row>
    <row r="668"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3" t="n"/>
      <c r="N668" s="34">
        <f>IF($A668="",NA(),IF(C668&gt;0,D668/C668,0))</f>
        <v/>
      </c>
      <c r="O668" s="34">
        <f>IF($A668="",NA(),IF(E668&gt;0,F668/E668,0))</f>
        <v/>
      </c>
      <c r="P668" s="34">
        <f>IF($A668="",NA(),IF(K668+L668&gt;0,K668/(K668+L668),0.5))</f>
        <v/>
      </c>
      <c r="Q668" s="34">
        <f>IF($A668="",NA(),1-P668)</f>
        <v/>
      </c>
      <c r="R668" s="33">
        <f>IF($A668="",NA(),MAX(0,E668-F668)*IF(G668&gt;0,H668/G668,COMPAREC_PAD)*IF(I668&gt;0,J668/I668,VALIDOS_PAD))</f>
        <v/>
      </c>
      <c r="S668" s="34">
        <f>IF($A668="",NA(),IF(R668&gt;0,0.5-(K668-L668)/(2*R668),0))</f>
        <v/>
      </c>
      <c r="T668" s="34">
        <f>IF($A668="",NA(),IF(R668&lt;=0,IF(K668&gt;L668,1,IF(K668&lt;L668,0,0.5)),1-NORMDIST(S668,P668+AJUSTE,SIGMA,TRUE)))</f>
        <v/>
      </c>
      <c r="U668" s="34">
        <f>IF($A668="",NA(),1-T668)</f>
        <v/>
      </c>
    </row>
    <row r="669">
      <c r="C669" s="33" t="n"/>
      <c r="D669" s="33" t="n"/>
      <c r="E669" s="33" t="n"/>
      <c r="F669" s="33" t="n"/>
      <c r="G669" s="33" t="n"/>
      <c r="H669" s="33" t="n"/>
      <c r="I669" s="33" t="n"/>
      <c r="J669" s="33" t="n"/>
      <c r="K669" s="33" t="n"/>
      <c r="L669" s="33" t="n"/>
      <c r="N669" s="34">
        <f>IF($A669="",NA(),IF(C669&gt;0,D669/C669,0))</f>
        <v/>
      </c>
      <c r="O669" s="34">
        <f>IF($A669="",NA(),IF(E669&gt;0,F669/E669,0))</f>
        <v/>
      </c>
      <c r="P669" s="34">
        <f>IF($A669="",NA(),IF(K669+L669&gt;0,K669/(K669+L669),0.5))</f>
        <v/>
      </c>
      <c r="Q669" s="34">
        <f>IF($A669="",NA(),1-P669)</f>
        <v/>
      </c>
      <c r="R669" s="33">
        <f>IF($A669="",NA(),MAX(0,E669-F669)*IF(G669&gt;0,H669/G669,COMPAREC_PAD)*IF(I669&gt;0,J669/I669,VALIDOS_PAD))</f>
        <v/>
      </c>
      <c r="S669" s="34">
        <f>IF($A669="",NA(),IF(R669&gt;0,0.5-(K669-L669)/(2*R669),0))</f>
        <v/>
      </c>
      <c r="T669" s="34">
        <f>IF($A669="",NA(),IF(R669&lt;=0,IF(K669&gt;L669,1,IF(K669&lt;L669,0,0.5)),1-NORMDIST(S669,P669+AJUSTE,SIGMA,TRUE)))</f>
        <v/>
      </c>
      <c r="U669" s="34">
        <f>IF($A669="",NA(),1-T669)</f>
        <v/>
      </c>
    </row>
    <row r="670"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3" t="n"/>
      <c r="N670" s="34">
        <f>IF($A670="",NA(),IF(C670&gt;0,D670/C670,0))</f>
        <v/>
      </c>
      <c r="O670" s="34">
        <f>IF($A670="",NA(),IF(E670&gt;0,F670/E670,0))</f>
        <v/>
      </c>
      <c r="P670" s="34">
        <f>IF($A670="",NA(),IF(K670+L670&gt;0,K670/(K670+L670),0.5))</f>
        <v/>
      </c>
      <c r="Q670" s="34">
        <f>IF($A670="",NA(),1-P670)</f>
        <v/>
      </c>
      <c r="R670" s="33">
        <f>IF($A670="",NA(),MAX(0,E670-F670)*IF(G670&gt;0,H670/G670,COMPAREC_PAD)*IF(I670&gt;0,J670/I670,VALIDOS_PAD))</f>
        <v/>
      </c>
      <c r="S670" s="34">
        <f>IF($A670="",NA(),IF(R670&gt;0,0.5-(K670-L670)/(2*R670),0))</f>
        <v/>
      </c>
      <c r="T670" s="34">
        <f>IF($A670="",NA(),IF(R670&lt;=0,IF(K670&gt;L670,1,IF(K670&lt;L670,0,0.5)),1-NORMDIST(S670,P670+AJUSTE,SIGMA,TRUE)))</f>
        <v/>
      </c>
      <c r="U670" s="34">
        <f>IF($A670="",NA(),1-T670)</f>
        <v/>
      </c>
    </row>
    <row r="671">
      <c r="C671" s="33" t="n"/>
      <c r="D671" s="33" t="n"/>
      <c r="E671" s="33" t="n"/>
      <c r="F671" s="33" t="n"/>
      <c r="G671" s="33" t="n"/>
      <c r="H671" s="33" t="n"/>
      <c r="I671" s="33" t="n"/>
      <c r="J671" s="33" t="n"/>
      <c r="K671" s="33" t="n"/>
      <c r="L671" s="33" t="n"/>
      <c r="N671" s="34">
        <f>IF($A671="",NA(),IF(C671&gt;0,D671/C671,0))</f>
        <v/>
      </c>
      <c r="O671" s="34">
        <f>IF($A671="",NA(),IF(E671&gt;0,F671/E671,0))</f>
        <v/>
      </c>
      <c r="P671" s="34">
        <f>IF($A671="",NA(),IF(K671+L671&gt;0,K671/(K671+L671),0.5))</f>
        <v/>
      </c>
      <c r="Q671" s="34">
        <f>IF($A671="",NA(),1-P671)</f>
        <v/>
      </c>
      <c r="R671" s="33">
        <f>IF($A671="",NA(),MAX(0,E671-F671)*IF(G671&gt;0,H671/G671,COMPAREC_PAD)*IF(I671&gt;0,J671/I671,VALIDOS_PAD))</f>
        <v/>
      </c>
      <c r="S671" s="34">
        <f>IF($A671="",NA(),IF(R671&gt;0,0.5-(K671-L671)/(2*R671),0))</f>
        <v/>
      </c>
      <c r="T671" s="34">
        <f>IF($A671="",NA(),IF(R671&lt;=0,IF(K671&gt;L671,1,IF(K671&lt;L671,0,0.5)),1-NORMDIST(S671,P671+AJUSTE,SIGMA,TRUE)))</f>
        <v/>
      </c>
      <c r="U671" s="34">
        <f>IF($A671="",NA(),1-T671)</f>
        <v/>
      </c>
    </row>
    <row r="672"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3" t="n"/>
      <c r="N672" s="34">
        <f>IF($A672="",NA(),IF(C672&gt;0,D672/C672,0))</f>
        <v/>
      </c>
      <c r="O672" s="34">
        <f>IF($A672="",NA(),IF(E672&gt;0,F672/E672,0))</f>
        <v/>
      </c>
      <c r="P672" s="34">
        <f>IF($A672="",NA(),IF(K672+L672&gt;0,K672/(K672+L672),0.5))</f>
        <v/>
      </c>
      <c r="Q672" s="34">
        <f>IF($A672="",NA(),1-P672)</f>
        <v/>
      </c>
      <c r="R672" s="33">
        <f>IF($A672="",NA(),MAX(0,E672-F672)*IF(G672&gt;0,H672/G672,COMPAREC_PAD)*IF(I672&gt;0,J672/I672,VALIDOS_PAD))</f>
        <v/>
      </c>
      <c r="S672" s="34">
        <f>IF($A672="",NA(),IF(R672&gt;0,0.5-(K672-L672)/(2*R672),0))</f>
        <v/>
      </c>
      <c r="T672" s="34">
        <f>IF($A672="",NA(),IF(R672&lt;=0,IF(K672&gt;L672,1,IF(K672&lt;L672,0,0.5)),1-NORMDIST(S672,P672+AJUSTE,SIGMA,TRUE)))</f>
        <v/>
      </c>
      <c r="U672" s="34">
        <f>IF($A672="",NA(),1-T672)</f>
        <v/>
      </c>
    </row>
    <row r="673">
      <c r="C673" s="33" t="n"/>
      <c r="D673" s="33" t="n"/>
      <c r="E673" s="33" t="n"/>
      <c r="F673" s="33" t="n"/>
      <c r="G673" s="33" t="n"/>
      <c r="H673" s="33" t="n"/>
      <c r="I673" s="33" t="n"/>
      <c r="J673" s="33" t="n"/>
      <c r="K673" s="33" t="n"/>
      <c r="L673" s="33" t="n"/>
      <c r="N673" s="34">
        <f>IF($A673="",NA(),IF(C673&gt;0,D673/C673,0))</f>
        <v/>
      </c>
      <c r="O673" s="34">
        <f>IF($A673="",NA(),IF(E673&gt;0,F673/E673,0))</f>
        <v/>
      </c>
      <c r="P673" s="34">
        <f>IF($A673="",NA(),IF(K673+L673&gt;0,K673/(K673+L673),0.5))</f>
        <v/>
      </c>
      <c r="Q673" s="34">
        <f>IF($A673="",NA(),1-P673)</f>
        <v/>
      </c>
      <c r="R673" s="33">
        <f>IF($A673="",NA(),MAX(0,E673-F673)*IF(G673&gt;0,H673/G673,COMPAREC_PAD)*IF(I673&gt;0,J673/I673,VALIDOS_PAD))</f>
        <v/>
      </c>
      <c r="S673" s="34">
        <f>IF($A673="",NA(),IF(R673&gt;0,0.5-(K673-L673)/(2*R673),0))</f>
        <v/>
      </c>
      <c r="T673" s="34">
        <f>IF($A673="",NA(),IF(R673&lt;=0,IF(K673&gt;L673,1,IF(K673&lt;L673,0,0.5)),1-NORMDIST(S673,P673+AJUSTE,SIGMA,TRUE)))</f>
        <v/>
      </c>
      <c r="U673" s="34">
        <f>IF($A673="",NA(),1-T673)</f>
        <v/>
      </c>
    </row>
    <row r="674"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3" t="n"/>
      <c r="N674" s="34">
        <f>IF($A674="",NA(),IF(C674&gt;0,D674/C674,0))</f>
        <v/>
      </c>
      <c r="O674" s="34">
        <f>IF($A674="",NA(),IF(E674&gt;0,F674/E674,0))</f>
        <v/>
      </c>
      <c r="P674" s="34">
        <f>IF($A674="",NA(),IF(K674+L674&gt;0,K674/(K674+L674),0.5))</f>
        <v/>
      </c>
      <c r="Q674" s="34">
        <f>IF($A674="",NA(),1-P674)</f>
        <v/>
      </c>
      <c r="R674" s="33">
        <f>IF($A674="",NA(),MAX(0,E674-F674)*IF(G674&gt;0,H674/G674,COMPAREC_PAD)*IF(I674&gt;0,J674/I674,VALIDOS_PAD))</f>
        <v/>
      </c>
      <c r="S674" s="34">
        <f>IF($A674="",NA(),IF(R674&gt;0,0.5-(K674-L674)/(2*R674),0))</f>
        <v/>
      </c>
      <c r="T674" s="34">
        <f>IF($A674="",NA(),IF(R674&lt;=0,IF(K674&gt;L674,1,IF(K674&lt;L674,0,0.5)),1-NORMDIST(S674,P674+AJUSTE,SIGMA,TRUE)))</f>
        <v/>
      </c>
      <c r="U674" s="34">
        <f>IF($A674="",NA(),1-T674)</f>
        <v/>
      </c>
    </row>
    <row r="675"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n"/>
      <c r="L675" s="33" t="n"/>
      <c r="N675" s="34">
        <f>IF($A675="",NA(),IF(C675&gt;0,D675/C675,0))</f>
        <v/>
      </c>
      <c r="O675" s="34">
        <f>IF($A675="",NA(),IF(E675&gt;0,F675/E675,0))</f>
        <v/>
      </c>
      <c r="P675" s="34">
        <f>IF($A675="",NA(),IF(K675+L675&gt;0,K675/(K675+L675),0.5))</f>
        <v/>
      </c>
      <c r="Q675" s="34">
        <f>IF($A675="",NA(),1-P675)</f>
        <v/>
      </c>
      <c r="R675" s="33">
        <f>IF($A675="",NA(),MAX(0,E675-F675)*IF(G675&gt;0,H675/G675,COMPAREC_PAD)*IF(I675&gt;0,J675/I675,VALIDOS_PAD))</f>
        <v/>
      </c>
      <c r="S675" s="34">
        <f>IF($A675="",NA(),IF(R675&gt;0,0.5-(K675-L675)/(2*R675),0))</f>
        <v/>
      </c>
      <c r="T675" s="34">
        <f>IF($A675="",NA(),IF(R675&lt;=0,IF(K675&gt;L675,1,IF(K675&lt;L675,0,0.5)),1-NORMDIST(S675,P675+AJUSTE,SIGMA,TRUE)))</f>
        <v/>
      </c>
      <c r="U675" s="34">
        <f>IF($A675="",NA(),1-T675)</f>
        <v/>
      </c>
    </row>
    <row r="676"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3" t="n"/>
      <c r="N676" s="34">
        <f>IF($A676="",NA(),IF(C676&gt;0,D676/C676,0))</f>
        <v/>
      </c>
      <c r="O676" s="34">
        <f>IF($A676="",NA(),IF(E676&gt;0,F676/E676,0))</f>
        <v/>
      </c>
      <c r="P676" s="34">
        <f>IF($A676="",NA(),IF(K676+L676&gt;0,K676/(K676+L676),0.5))</f>
        <v/>
      </c>
      <c r="Q676" s="34">
        <f>IF($A676="",NA(),1-P676)</f>
        <v/>
      </c>
      <c r="R676" s="33">
        <f>IF($A676="",NA(),MAX(0,E676-F676)*IF(G676&gt;0,H676/G676,COMPAREC_PAD)*IF(I676&gt;0,J676/I676,VALIDOS_PAD))</f>
        <v/>
      </c>
      <c r="S676" s="34">
        <f>IF($A676="",NA(),IF(R676&gt;0,0.5-(K676-L676)/(2*R676),0))</f>
        <v/>
      </c>
      <c r="T676" s="34">
        <f>IF($A676="",NA(),IF(R676&lt;=0,IF(K676&gt;L676,1,IF(K676&lt;L676,0,0.5)),1-NORMDIST(S676,P676+AJUSTE,SIGMA,TRUE)))</f>
        <v/>
      </c>
      <c r="U676" s="34">
        <f>IF($A676="",NA(),1-T676)</f>
        <v/>
      </c>
    </row>
    <row r="677">
      <c r="C677" s="33" t="n"/>
      <c r="D677" s="33" t="n"/>
      <c r="E677" s="33" t="n"/>
      <c r="F677" s="33" t="n"/>
      <c r="G677" s="33" t="n"/>
      <c r="H677" s="33" t="n"/>
      <c r="I677" s="33" t="n"/>
      <c r="J677" s="33" t="n"/>
      <c r="K677" s="33" t="n"/>
      <c r="L677" s="33" t="n"/>
      <c r="N677" s="34">
        <f>IF($A677="",NA(),IF(C677&gt;0,D677/C677,0))</f>
        <v/>
      </c>
      <c r="O677" s="34">
        <f>IF($A677="",NA(),IF(E677&gt;0,F677/E677,0))</f>
        <v/>
      </c>
      <c r="P677" s="34">
        <f>IF($A677="",NA(),IF(K677+L677&gt;0,K677/(K677+L677),0.5))</f>
        <v/>
      </c>
      <c r="Q677" s="34">
        <f>IF($A677="",NA(),1-P677)</f>
        <v/>
      </c>
      <c r="R677" s="33">
        <f>IF($A677="",NA(),MAX(0,E677-F677)*IF(G677&gt;0,H677/G677,COMPAREC_PAD)*IF(I677&gt;0,J677/I677,VALIDOS_PAD))</f>
        <v/>
      </c>
      <c r="S677" s="34">
        <f>IF($A677="",NA(),IF(R677&gt;0,0.5-(K677-L677)/(2*R677),0))</f>
        <v/>
      </c>
      <c r="T677" s="34">
        <f>IF($A677="",NA(),IF(R677&lt;=0,IF(K677&gt;L677,1,IF(K677&lt;L677,0,0.5)),1-NORMDIST(S677,P677+AJUSTE,SIGMA,TRUE)))</f>
        <v/>
      </c>
      <c r="U677" s="34">
        <f>IF($A677="",NA(),1-T677)</f>
        <v/>
      </c>
    </row>
    <row r="678"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3" t="n"/>
      <c r="N678" s="34">
        <f>IF($A678="",NA(),IF(C678&gt;0,D678/C678,0))</f>
        <v/>
      </c>
      <c r="O678" s="34">
        <f>IF($A678="",NA(),IF(E678&gt;0,F678/E678,0))</f>
        <v/>
      </c>
      <c r="P678" s="34">
        <f>IF($A678="",NA(),IF(K678+L678&gt;0,K678/(K678+L678),0.5))</f>
        <v/>
      </c>
      <c r="Q678" s="34">
        <f>IF($A678="",NA(),1-P678)</f>
        <v/>
      </c>
      <c r="R678" s="33">
        <f>IF($A678="",NA(),MAX(0,E678-F678)*IF(G678&gt;0,H678/G678,COMPAREC_PAD)*IF(I678&gt;0,J678/I678,VALIDOS_PAD))</f>
        <v/>
      </c>
      <c r="S678" s="34">
        <f>IF($A678="",NA(),IF(R678&gt;0,0.5-(K678-L678)/(2*R678),0))</f>
        <v/>
      </c>
      <c r="T678" s="34">
        <f>IF($A678="",NA(),IF(R678&lt;=0,IF(K678&gt;L678,1,IF(K678&lt;L678,0,0.5)),1-NORMDIST(S678,P678+AJUSTE,SIGMA,TRUE)))</f>
        <v/>
      </c>
      <c r="U678" s="34">
        <f>IF($A678="",NA(),1-T678)</f>
        <v/>
      </c>
    </row>
    <row r="679">
      <c r="C679" s="33" t="n"/>
      <c r="D679" s="33" t="n"/>
      <c r="E679" s="33" t="n"/>
      <c r="F679" s="33" t="n"/>
      <c r="G679" s="33" t="n"/>
      <c r="H679" s="33" t="n"/>
      <c r="I679" s="33" t="n"/>
      <c r="J679" s="33" t="n"/>
      <c r="K679" s="33" t="n"/>
      <c r="L679" s="33" t="n"/>
      <c r="N679" s="34">
        <f>IF($A679="",NA(),IF(C679&gt;0,D679/C679,0))</f>
        <v/>
      </c>
      <c r="O679" s="34">
        <f>IF($A679="",NA(),IF(E679&gt;0,F679/E679,0))</f>
        <v/>
      </c>
      <c r="P679" s="34">
        <f>IF($A679="",NA(),IF(K679+L679&gt;0,K679/(K679+L679),0.5))</f>
        <v/>
      </c>
      <c r="Q679" s="34">
        <f>IF($A679="",NA(),1-P679)</f>
        <v/>
      </c>
      <c r="R679" s="33">
        <f>IF($A679="",NA(),MAX(0,E679-F679)*IF(G679&gt;0,H679/G679,COMPAREC_PAD)*IF(I679&gt;0,J679/I679,VALIDOS_PAD))</f>
        <v/>
      </c>
      <c r="S679" s="34">
        <f>IF($A679="",NA(),IF(R679&gt;0,0.5-(K679-L679)/(2*R679),0))</f>
        <v/>
      </c>
      <c r="T679" s="34">
        <f>IF($A679="",NA(),IF(R679&lt;=0,IF(K679&gt;L679,1,IF(K679&lt;L679,0,0.5)),1-NORMDIST(S679,P679+AJUSTE,SIGMA,TRUE)))</f>
        <v/>
      </c>
      <c r="U679" s="34">
        <f>IF($A679="",NA(),1-T679)</f>
        <v/>
      </c>
    </row>
    <row r="680"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3" t="n"/>
      <c r="N680" s="34">
        <f>IF($A680="",NA(),IF(C680&gt;0,D680/C680,0))</f>
        <v/>
      </c>
      <c r="O680" s="34">
        <f>IF($A680="",NA(),IF(E680&gt;0,F680/E680,0))</f>
        <v/>
      </c>
      <c r="P680" s="34">
        <f>IF($A680="",NA(),IF(K680+L680&gt;0,K680/(K680+L680),0.5))</f>
        <v/>
      </c>
      <c r="Q680" s="34">
        <f>IF($A680="",NA(),1-P680)</f>
        <v/>
      </c>
      <c r="R680" s="33">
        <f>IF($A680="",NA(),MAX(0,E680-F680)*IF(G680&gt;0,H680/G680,COMPAREC_PAD)*IF(I680&gt;0,J680/I680,VALIDOS_PAD))</f>
        <v/>
      </c>
      <c r="S680" s="34">
        <f>IF($A680="",NA(),IF(R680&gt;0,0.5-(K680-L680)/(2*R680),0))</f>
        <v/>
      </c>
      <c r="T680" s="34">
        <f>IF($A680="",NA(),IF(R680&lt;=0,IF(K680&gt;L680,1,IF(K680&lt;L680,0,0.5)),1-NORMDIST(S680,P680+AJUSTE,SIGMA,TRUE)))</f>
        <v/>
      </c>
      <c r="U680" s="34">
        <f>IF($A680="",NA(),1-T680)</f>
        <v/>
      </c>
    </row>
    <row r="681"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n"/>
      <c r="L681" s="33" t="n"/>
      <c r="N681" s="34">
        <f>IF($A681="",NA(),IF(C681&gt;0,D681/C681,0))</f>
        <v/>
      </c>
      <c r="O681" s="34">
        <f>IF($A681="",NA(),IF(E681&gt;0,F681/E681,0))</f>
        <v/>
      </c>
      <c r="P681" s="34">
        <f>IF($A681="",NA(),IF(K681+L681&gt;0,K681/(K681+L681),0.5))</f>
        <v/>
      </c>
      <c r="Q681" s="34">
        <f>IF($A681="",NA(),1-P681)</f>
        <v/>
      </c>
      <c r="R681" s="33">
        <f>IF($A681="",NA(),MAX(0,E681-F681)*IF(G681&gt;0,H681/G681,COMPAREC_PAD)*IF(I681&gt;0,J681/I681,VALIDOS_PAD))</f>
        <v/>
      </c>
      <c r="S681" s="34">
        <f>IF($A681="",NA(),IF(R681&gt;0,0.5-(K681-L681)/(2*R681),0))</f>
        <v/>
      </c>
      <c r="T681" s="34">
        <f>IF($A681="",NA(),IF(R681&lt;=0,IF(K681&gt;L681,1,IF(K681&lt;L681,0,0.5)),1-NORMDIST(S681,P681+AJUSTE,SIGMA,TRUE)))</f>
        <v/>
      </c>
      <c r="U681" s="34">
        <f>IF($A681="",NA(),1-T681)</f>
        <v/>
      </c>
    </row>
    <row r="682"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3" t="n"/>
      <c r="N682" s="34">
        <f>IF($A682="",NA(),IF(C682&gt;0,D682/C682,0))</f>
        <v/>
      </c>
      <c r="O682" s="34">
        <f>IF($A682="",NA(),IF(E682&gt;0,F682/E682,0))</f>
        <v/>
      </c>
      <c r="P682" s="34">
        <f>IF($A682="",NA(),IF(K682+L682&gt;0,K682/(K682+L682),0.5))</f>
        <v/>
      </c>
      <c r="Q682" s="34">
        <f>IF($A682="",NA(),1-P682)</f>
        <v/>
      </c>
      <c r="R682" s="33">
        <f>IF($A682="",NA(),MAX(0,E682-F682)*IF(G682&gt;0,H682/G682,COMPAREC_PAD)*IF(I682&gt;0,J682/I682,VALIDOS_PAD))</f>
        <v/>
      </c>
      <c r="S682" s="34">
        <f>IF($A682="",NA(),IF(R682&gt;0,0.5-(K682-L682)/(2*R682),0))</f>
        <v/>
      </c>
      <c r="T682" s="34">
        <f>IF($A682="",NA(),IF(R682&lt;=0,IF(K682&gt;L682,1,IF(K682&lt;L682,0,0.5)),1-NORMDIST(S682,P682+AJUSTE,SIGMA,TRUE)))</f>
        <v/>
      </c>
      <c r="U682" s="34">
        <f>IF($A682="",NA(),1-T682)</f>
        <v/>
      </c>
    </row>
    <row r="683">
      <c r="C683" s="33" t="n"/>
      <c r="D683" s="33" t="n"/>
      <c r="E683" s="33" t="n"/>
      <c r="F683" s="33" t="n"/>
      <c r="G683" s="33" t="n"/>
      <c r="H683" s="33" t="n"/>
      <c r="I683" s="33" t="n"/>
      <c r="J683" s="33" t="n"/>
      <c r="K683" s="33" t="n"/>
      <c r="L683" s="33" t="n"/>
      <c r="N683" s="34">
        <f>IF($A683="",NA(),IF(C683&gt;0,D683/C683,0))</f>
        <v/>
      </c>
      <c r="O683" s="34">
        <f>IF($A683="",NA(),IF(E683&gt;0,F683/E683,0))</f>
        <v/>
      </c>
      <c r="P683" s="34">
        <f>IF($A683="",NA(),IF(K683+L683&gt;0,K683/(K683+L683),0.5))</f>
        <v/>
      </c>
      <c r="Q683" s="34">
        <f>IF($A683="",NA(),1-P683)</f>
        <v/>
      </c>
      <c r="R683" s="33">
        <f>IF($A683="",NA(),MAX(0,E683-F683)*IF(G683&gt;0,H683/G683,COMPAREC_PAD)*IF(I683&gt;0,J683/I683,VALIDOS_PAD))</f>
        <v/>
      </c>
      <c r="S683" s="34">
        <f>IF($A683="",NA(),IF(R683&gt;0,0.5-(K683-L683)/(2*R683),0))</f>
        <v/>
      </c>
      <c r="T683" s="34">
        <f>IF($A683="",NA(),IF(R683&lt;=0,IF(K683&gt;L683,1,IF(K683&lt;L683,0,0.5)),1-NORMDIST(S683,P683+AJUSTE,SIGMA,TRUE)))</f>
        <v/>
      </c>
      <c r="U683" s="34">
        <f>IF($A683="",NA(),1-T683)</f>
        <v/>
      </c>
    </row>
    <row r="684"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3" t="n"/>
      <c r="N684" s="34">
        <f>IF($A684="",NA(),IF(C684&gt;0,D684/C684,0))</f>
        <v/>
      </c>
      <c r="O684" s="34">
        <f>IF($A684="",NA(),IF(E684&gt;0,F684/E684,0))</f>
        <v/>
      </c>
      <c r="P684" s="34">
        <f>IF($A684="",NA(),IF(K684+L684&gt;0,K684/(K684+L684),0.5))</f>
        <v/>
      </c>
      <c r="Q684" s="34">
        <f>IF($A684="",NA(),1-P684)</f>
        <v/>
      </c>
      <c r="R684" s="33">
        <f>IF($A684="",NA(),MAX(0,E684-F684)*IF(G684&gt;0,H684/G684,COMPAREC_PAD)*IF(I684&gt;0,J684/I684,VALIDOS_PAD))</f>
        <v/>
      </c>
      <c r="S684" s="34">
        <f>IF($A684="",NA(),IF(R684&gt;0,0.5-(K684-L684)/(2*R684),0))</f>
        <v/>
      </c>
      <c r="T684" s="34">
        <f>IF($A684="",NA(),IF(R684&lt;=0,IF(K684&gt;L684,1,IF(K684&lt;L684,0,0.5)),1-NORMDIST(S684,P684+AJUSTE,SIGMA,TRUE)))</f>
        <v/>
      </c>
      <c r="U684" s="34">
        <f>IF($A684="",NA(),1-T684)</f>
        <v/>
      </c>
    </row>
    <row r="685"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n"/>
      <c r="L685" s="33" t="n"/>
      <c r="N685" s="34">
        <f>IF($A685="",NA(),IF(C685&gt;0,D685/C685,0))</f>
        <v/>
      </c>
      <c r="O685" s="34">
        <f>IF($A685="",NA(),IF(E685&gt;0,F685/E685,0))</f>
        <v/>
      </c>
      <c r="P685" s="34">
        <f>IF($A685="",NA(),IF(K685+L685&gt;0,K685/(K685+L685),0.5))</f>
        <v/>
      </c>
      <c r="Q685" s="34">
        <f>IF($A685="",NA(),1-P685)</f>
        <v/>
      </c>
      <c r="R685" s="33">
        <f>IF($A685="",NA(),MAX(0,E685-F685)*IF(G685&gt;0,H685/G685,COMPAREC_PAD)*IF(I685&gt;0,J685/I685,VALIDOS_PAD))</f>
        <v/>
      </c>
      <c r="S685" s="34">
        <f>IF($A685="",NA(),IF(R685&gt;0,0.5-(K685-L685)/(2*R685),0))</f>
        <v/>
      </c>
      <c r="T685" s="34">
        <f>IF($A685="",NA(),IF(R685&lt;=0,IF(K685&gt;L685,1,IF(K685&lt;L685,0,0.5)),1-NORMDIST(S685,P685+AJUSTE,SIGMA,TRUE)))</f>
        <v/>
      </c>
      <c r="U685" s="34">
        <f>IF($A685="",NA(),1-T685)</f>
        <v/>
      </c>
    </row>
    <row r="686"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3" t="n"/>
      <c r="N686" s="34">
        <f>IF($A686="",NA(),IF(C686&gt;0,D686/C686,0))</f>
        <v/>
      </c>
      <c r="O686" s="34">
        <f>IF($A686="",NA(),IF(E686&gt;0,F686/E686,0))</f>
        <v/>
      </c>
      <c r="P686" s="34">
        <f>IF($A686="",NA(),IF(K686+L686&gt;0,K686/(K686+L686),0.5))</f>
        <v/>
      </c>
      <c r="Q686" s="34">
        <f>IF($A686="",NA(),1-P686)</f>
        <v/>
      </c>
      <c r="R686" s="33">
        <f>IF($A686="",NA(),MAX(0,E686-F686)*IF(G686&gt;0,H686/G686,COMPAREC_PAD)*IF(I686&gt;0,J686/I686,VALIDOS_PAD))</f>
        <v/>
      </c>
      <c r="S686" s="34">
        <f>IF($A686="",NA(),IF(R686&gt;0,0.5-(K686-L686)/(2*R686),0))</f>
        <v/>
      </c>
      <c r="T686" s="34">
        <f>IF($A686="",NA(),IF(R686&lt;=0,IF(K686&gt;L686,1,IF(K686&lt;L686,0,0.5)),1-NORMDIST(S686,P686+AJUSTE,SIGMA,TRUE)))</f>
        <v/>
      </c>
      <c r="U686" s="34">
        <f>IF($A686="",NA(),1-T686)</f>
        <v/>
      </c>
    </row>
    <row r="687">
      <c r="C687" s="33" t="n"/>
      <c r="D687" s="33" t="n"/>
      <c r="E687" s="33" t="n"/>
      <c r="F687" s="33" t="n"/>
      <c r="G687" s="33" t="n"/>
      <c r="H687" s="33" t="n"/>
      <c r="I687" s="33" t="n"/>
      <c r="J687" s="33" t="n"/>
      <c r="K687" s="33" t="n"/>
      <c r="L687" s="33" t="n"/>
      <c r="N687" s="34">
        <f>IF($A687="",NA(),IF(C687&gt;0,D687/C687,0))</f>
        <v/>
      </c>
      <c r="O687" s="34">
        <f>IF($A687="",NA(),IF(E687&gt;0,F687/E687,0))</f>
        <v/>
      </c>
      <c r="P687" s="34">
        <f>IF($A687="",NA(),IF(K687+L687&gt;0,K687/(K687+L687),0.5))</f>
        <v/>
      </c>
      <c r="Q687" s="34">
        <f>IF($A687="",NA(),1-P687)</f>
        <v/>
      </c>
      <c r="R687" s="33">
        <f>IF($A687="",NA(),MAX(0,E687-F687)*IF(G687&gt;0,H687/G687,COMPAREC_PAD)*IF(I687&gt;0,J687/I687,VALIDOS_PAD))</f>
        <v/>
      </c>
      <c r="S687" s="34">
        <f>IF($A687="",NA(),IF(R687&gt;0,0.5-(K687-L687)/(2*R687),0))</f>
        <v/>
      </c>
      <c r="T687" s="34">
        <f>IF($A687="",NA(),IF(R687&lt;=0,IF(K687&gt;L687,1,IF(K687&lt;L687,0,0.5)),1-NORMDIST(S687,P687+AJUSTE,SIGMA,TRUE)))</f>
        <v/>
      </c>
      <c r="U687" s="34">
        <f>IF($A687="",NA(),1-T687)</f>
        <v/>
      </c>
    </row>
    <row r="688"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3" t="n"/>
      <c r="N688" s="34">
        <f>IF($A688="",NA(),IF(C688&gt;0,D688/C688,0))</f>
        <v/>
      </c>
      <c r="O688" s="34">
        <f>IF($A688="",NA(),IF(E688&gt;0,F688/E688,0))</f>
        <v/>
      </c>
      <c r="P688" s="34">
        <f>IF($A688="",NA(),IF(K688+L688&gt;0,K688/(K688+L688),0.5))</f>
        <v/>
      </c>
      <c r="Q688" s="34">
        <f>IF($A688="",NA(),1-P688)</f>
        <v/>
      </c>
      <c r="R688" s="33">
        <f>IF($A688="",NA(),MAX(0,E688-F688)*IF(G688&gt;0,H688/G688,COMPAREC_PAD)*IF(I688&gt;0,J688/I688,VALIDOS_PAD))</f>
        <v/>
      </c>
      <c r="S688" s="34">
        <f>IF($A688="",NA(),IF(R688&gt;0,0.5-(K688-L688)/(2*R688),0))</f>
        <v/>
      </c>
      <c r="T688" s="34">
        <f>IF($A688="",NA(),IF(R688&lt;=0,IF(K688&gt;L688,1,IF(K688&lt;L688,0,0.5)),1-NORMDIST(S688,P688+AJUSTE,SIGMA,TRUE)))</f>
        <v/>
      </c>
      <c r="U688" s="34">
        <f>IF($A688="",NA(),1-T688)</f>
        <v/>
      </c>
    </row>
    <row r="689"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n"/>
      <c r="L689" s="33" t="n"/>
      <c r="N689" s="34">
        <f>IF($A689="",NA(),IF(C689&gt;0,D689/C689,0))</f>
        <v/>
      </c>
      <c r="O689" s="34">
        <f>IF($A689="",NA(),IF(E689&gt;0,F689/E689,0))</f>
        <v/>
      </c>
      <c r="P689" s="34">
        <f>IF($A689="",NA(),IF(K689+L689&gt;0,K689/(K689+L689),0.5))</f>
        <v/>
      </c>
      <c r="Q689" s="34">
        <f>IF($A689="",NA(),1-P689)</f>
        <v/>
      </c>
      <c r="R689" s="33">
        <f>IF($A689="",NA(),MAX(0,E689-F689)*IF(G689&gt;0,H689/G689,COMPAREC_PAD)*IF(I689&gt;0,J689/I689,VALIDOS_PAD))</f>
        <v/>
      </c>
      <c r="S689" s="34">
        <f>IF($A689="",NA(),IF(R689&gt;0,0.5-(K689-L689)/(2*R689),0))</f>
        <v/>
      </c>
      <c r="T689" s="34">
        <f>IF($A689="",NA(),IF(R689&lt;=0,IF(K689&gt;L689,1,IF(K689&lt;L689,0,0.5)),1-NORMDIST(S689,P689+AJUSTE,SIGMA,TRUE)))</f>
        <v/>
      </c>
      <c r="U689" s="34">
        <f>IF($A689="",NA(),1-T689)</f>
        <v/>
      </c>
    </row>
    <row r="690"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3" t="n"/>
      <c r="N690" s="34">
        <f>IF($A690="",NA(),IF(C690&gt;0,D690/C690,0))</f>
        <v/>
      </c>
      <c r="O690" s="34">
        <f>IF($A690="",NA(),IF(E690&gt;0,F690/E690,0))</f>
        <v/>
      </c>
      <c r="P690" s="34">
        <f>IF($A690="",NA(),IF(K690+L690&gt;0,K690/(K690+L690),0.5))</f>
        <v/>
      </c>
      <c r="Q690" s="34">
        <f>IF($A690="",NA(),1-P690)</f>
        <v/>
      </c>
      <c r="R690" s="33">
        <f>IF($A690="",NA(),MAX(0,E690-F690)*IF(G690&gt;0,H690/G690,COMPAREC_PAD)*IF(I690&gt;0,J690/I690,VALIDOS_PAD))</f>
        <v/>
      </c>
      <c r="S690" s="34">
        <f>IF($A690="",NA(),IF(R690&gt;0,0.5-(K690-L690)/(2*R690),0))</f>
        <v/>
      </c>
      <c r="T690" s="34">
        <f>IF($A690="",NA(),IF(R690&lt;=0,IF(K690&gt;L690,1,IF(K690&lt;L690,0,0.5)),1-NORMDIST(S690,P690+AJUSTE,SIGMA,TRUE)))</f>
        <v/>
      </c>
      <c r="U690" s="34">
        <f>IF($A690="",NA(),1-T690)</f>
        <v/>
      </c>
    </row>
    <row r="691">
      <c r="C691" s="33" t="n"/>
      <c r="D691" s="33" t="n"/>
      <c r="E691" s="33" t="n"/>
      <c r="F691" s="33" t="n"/>
      <c r="G691" s="33" t="n"/>
      <c r="H691" s="33" t="n"/>
      <c r="I691" s="33" t="n"/>
      <c r="J691" s="33" t="n"/>
      <c r="K691" s="33" t="n"/>
      <c r="L691" s="33" t="n"/>
      <c r="N691" s="34">
        <f>IF($A691="",NA(),IF(C691&gt;0,D691/C691,0))</f>
        <v/>
      </c>
      <c r="O691" s="34">
        <f>IF($A691="",NA(),IF(E691&gt;0,F691/E691,0))</f>
        <v/>
      </c>
      <c r="P691" s="34">
        <f>IF($A691="",NA(),IF(K691+L691&gt;0,K691/(K691+L691),0.5))</f>
        <v/>
      </c>
      <c r="Q691" s="34">
        <f>IF($A691="",NA(),1-P691)</f>
        <v/>
      </c>
      <c r="R691" s="33">
        <f>IF($A691="",NA(),MAX(0,E691-F691)*IF(G691&gt;0,H691/G691,COMPAREC_PAD)*IF(I691&gt;0,J691/I691,VALIDOS_PAD))</f>
        <v/>
      </c>
      <c r="S691" s="34">
        <f>IF($A691="",NA(),IF(R691&gt;0,0.5-(K691-L691)/(2*R691),0))</f>
        <v/>
      </c>
      <c r="T691" s="34">
        <f>IF($A691="",NA(),IF(R691&lt;=0,IF(K691&gt;L691,1,IF(K691&lt;L691,0,0.5)),1-NORMDIST(S691,P691+AJUSTE,SIGMA,TRUE)))</f>
        <v/>
      </c>
      <c r="U691" s="34">
        <f>IF($A691="",NA(),1-T691)</f>
        <v/>
      </c>
    </row>
    <row r="692"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3" t="n"/>
      <c r="N692" s="34">
        <f>IF($A692="",NA(),IF(C692&gt;0,D692/C692,0))</f>
        <v/>
      </c>
      <c r="O692" s="34">
        <f>IF($A692="",NA(),IF(E692&gt;0,F692/E692,0))</f>
        <v/>
      </c>
      <c r="P692" s="34">
        <f>IF($A692="",NA(),IF(K692+L692&gt;0,K692/(K692+L692),0.5))</f>
        <v/>
      </c>
      <c r="Q692" s="34">
        <f>IF($A692="",NA(),1-P692)</f>
        <v/>
      </c>
      <c r="R692" s="33">
        <f>IF($A692="",NA(),MAX(0,E692-F692)*IF(G692&gt;0,H692/G692,COMPAREC_PAD)*IF(I692&gt;0,J692/I692,VALIDOS_PAD))</f>
        <v/>
      </c>
      <c r="S692" s="34">
        <f>IF($A692="",NA(),IF(R692&gt;0,0.5-(K692-L692)/(2*R692),0))</f>
        <v/>
      </c>
      <c r="T692" s="34">
        <f>IF($A692="",NA(),IF(R692&lt;=0,IF(K692&gt;L692,1,IF(K692&lt;L692,0,0.5)),1-NORMDIST(S692,P692+AJUSTE,SIGMA,TRUE)))</f>
        <v/>
      </c>
      <c r="U692" s="34">
        <f>IF($A692="",NA(),1-T692)</f>
        <v/>
      </c>
    </row>
    <row r="693">
      <c r="C693" s="33" t="n"/>
      <c r="D693" s="33" t="n"/>
      <c r="E693" s="33" t="n"/>
      <c r="F693" s="33" t="n"/>
      <c r="G693" s="33" t="n"/>
      <c r="H693" s="33" t="n"/>
      <c r="I693" s="33" t="n"/>
      <c r="J693" s="33" t="n"/>
      <c r="K693" s="33" t="n"/>
      <c r="L693" s="33" t="n"/>
      <c r="N693" s="34">
        <f>IF($A693="",NA(),IF(C693&gt;0,D693/C693,0))</f>
        <v/>
      </c>
      <c r="O693" s="34">
        <f>IF($A693="",NA(),IF(E693&gt;0,F693/E693,0))</f>
        <v/>
      </c>
      <c r="P693" s="34">
        <f>IF($A693="",NA(),IF(K693+L693&gt;0,K693/(K693+L693),0.5))</f>
        <v/>
      </c>
      <c r="Q693" s="34">
        <f>IF($A693="",NA(),1-P693)</f>
        <v/>
      </c>
      <c r="R693" s="33">
        <f>IF($A693="",NA(),MAX(0,E693-F693)*IF(G693&gt;0,H693/G693,COMPAREC_PAD)*IF(I693&gt;0,J693/I693,VALIDOS_PAD))</f>
        <v/>
      </c>
      <c r="S693" s="34">
        <f>IF($A693="",NA(),IF(R693&gt;0,0.5-(K693-L693)/(2*R693),0))</f>
        <v/>
      </c>
      <c r="T693" s="34">
        <f>IF($A693="",NA(),IF(R693&lt;=0,IF(K693&gt;L693,1,IF(K693&lt;L693,0,0.5)),1-NORMDIST(S693,P693+AJUSTE,SIGMA,TRUE)))</f>
        <v/>
      </c>
      <c r="U693" s="34">
        <f>IF($A693="",NA(),1-T693)</f>
        <v/>
      </c>
    </row>
    <row r="694"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3" t="n"/>
      <c r="N694" s="34">
        <f>IF($A694="",NA(),IF(C694&gt;0,D694/C694,0))</f>
        <v/>
      </c>
      <c r="O694" s="34">
        <f>IF($A694="",NA(),IF(E694&gt;0,F694/E694,0))</f>
        <v/>
      </c>
      <c r="P694" s="34">
        <f>IF($A694="",NA(),IF(K694+L694&gt;0,K694/(K694+L694),0.5))</f>
        <v/>
      </c>
      <c r="Q694" s="34">
        <f>IF($A694="",NA(),1-P694)</f>
        <v/>
      </c>
      <c r="R694" s="33">
        <f>IF($A694="",NA(),MAX(0,E694-F694)*IF(G694&gt;0,H694/G694,COMPAREC_PAD)*IF(I694&gt;0,J694/I694,VALIDOS_PAD))</f>
        <v/>
      </c>
      <c r="S694" s="34">
        <f>IF($A694="",NA(),IF(R694&gt;0,0.5-(K694-L694)/(2*R694),0))</f>
        <v/>
      </c>
      <c r="T694" s="34">
        <f>IF($A694="",NA(),IF(R694&lt;=0,IF(K694&gt;L694,1,IF(K694&lt;L694,0,0.5)),1-NORMDIST(S694,P694+AJUSTE,SIGMA,TRUE)))</f>
        <v/>
      </c>
      <c r="U694" s="34">
        <f>IF($A694="",NA(),1-T694)</f>
        <v/>
      </c>
    </row>
    <row r="695">
      <c r="C695" s="33" t="n"/>
      <c r="D695" s="33" t="n"/>
      <c r="E695" s="33" t="n"/>
      <c r="F695" s="33" t="n"/>
      <c r="G695" s="33" t="n"/>
      <c r="H695" s="33" t="n"/>
      <c r="I695" s="33" t="n"/>
      <c r="J695" s="33" t="n"/>
      <c r="K695" s="33" t="n"/>
      <c r="L695" s="33" t="n"/>
      <c r="N695" s="34">
        <f>IF($A695="",NA(),IF(C695&gt;0,D695/C695,0))</f>
        <v/>
      </c>
      <c r="O695" s="34">
        <f>IF($A695="",NA(),IF(E695&gt;0,F695/E695,0))</f>
        <v/>
      </c>
      <c r="P695" s="34">
        <f>IF($A695="",NA(),IF(K695+L695&gt;0,K695/(K695+L695),0.5))</f>
        <v/>
      </c>
      <c r="Q695" s="34">
        <f>IF($A695="",NA(),1-P695)</f>
        <v/>
      </c>
      <c r="R695" s="33">
        <f>IF($A695="",NA(),MAX(0,E695-F695)*IF(G695&gt;0,H695/G695,COMPAREC_PAD)*IF(I695&gt;0,J695/I695,VALIDOS_PAD))</f>
        <v/>
      </c>
      <c r="S695" s="34">
        <f>IF($A695="",NA(),IF(R695&gt;0,0.5-(K695-L695)/(2*R695),0))</f>
        <v/>
      </c>
      <c r="T695" s="34">
        <f>IF($A695="",NA(),IF(R695&lt;=0,IF(K695&gt;L695,1,IF(K695&lt;L695,0,0.5)),1-NORMDIST(S695,P695+AJUSTE,SIGMA,TRUE)))</f>
        <v/>
      </c>
      <c r="U695" s="34">
        <f>IF($A695="",NA(),1-T695)</f>
        <v/>
      </c>
    </row>
    <row r="696"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3" t="n"/>
      <c r="N696" s="34">
        <f>IF($A696="",NA(),IF(C696&gt;0,D696/C696,0))</f>
        <v/>
      </c>
      <c r="O696" s="34">
        <f>IF($A696="",NA(),IF(E696&gt;0,F696/E696,0))</f>
        <v/>
      </c>
      <c r="P696" s="34">
        <f>IF($A696="",NA(),IF(K696+L696&gt;0,K696/(K696+L696),0.5))</f>
        <v/>
      </c>
      <c r="Q696" s="34">
        <f>IF($A696="",NA(),1-P696)</f>
        <v/>
      </c>
      <c r="R696" s="33">
        <f>IF($A696="",NA(),MAX(0,E696-F696)*IF(G696&gt;0,H696/G696,COMPAREC_PAD)*IF(I696&gt;0,J696/I696,VALIDOS_PAD))</f>
        <v/>
      </c>
      <c r="S696" s="34">
        <f>IF($A696="",NA(),IF(R696&gt;0,0.5-(K696-L696)/(2*R696),0))</f>
        <v/>
      </c>
      <c r="T696" s="34">
        <f>IF($A696="",NA(),IF(R696&lt;=0,IF(K696&gt;L696,1,IF(K696&lt;L696,0,0.5)),1-NORMDIST(S696,P696+AJUSTE,SIGMA,TRUE)))</f>
        <v/>
      </c>
      <c r="U696" s="34">
        <f>IF($A696="",NA(),1-T696)</f>
        <v/>
      </c>
    </row>
    <row r="697">
      <c r="C697" s="33" t="n"/>
      <c r="D697" s="33" t="n"/>
      <c r="E697" s="33" t="n"/>
      <c r="F697" s="33" t="n"/>
      <c r="G697" s="33" t="n"/>
      <c r="H697" s="33" t="n"/>
      <c r="I697" s="33" t="n"/>
      <c r="J697" s="33" t="n"/>
      <c r="K697" s="33" t="n"/>
      <c r="L697" s="33" t="n"/>
      <c r="N697" s="34">
        <f>IF($A697="",NA(),IF(C697&gt;0,D697/C697,0))</f>
        <v/>
      </c>
      <c r="O697" s="34">
        <f>IF($A697="",NA(),IF(E697&gt;0,F697/E697,0))</f>
        <v/>
      </c>
      <c r="P697" s="34">
        <f>IF($A697="",NA(),IF(K697+L697&gt;0,K697/(K697+L697),0.5))</f>
        <v/>
      </c>
      <c r="Q697" s="34">
        <f>IF($A697="",NA(),1-P697)</f>
        <v/>
      </c>
      <c r="R697" s="33">
        <f>IF($A697="",NA(),MAX(0,E697-F697)*IF(G697&gt;0,H697/G697,COMPAREC_PAD)*IF(I697&gt;0,J697/I697,VALIDOS_PAD))</f>
        <v/>
      </c>
      <c r="S697" s="34">
        <f>IF($A697="",NA(),IF(R697&gt;0,0.5-(K697-L697)/(2*R697),0))</f>
        <v/>
      </c>
      <c r="T697" s="34">
        <f>IF($A697="",NA(),IF(R697&lt;=0,IF(K697&gt;L697,1,IF(K697&lt;L697,0,0.5)),1-NORMDIST(S697,P697+AJUSTE,SIGMA,TRUE)))</f>
        <v/>
      </c>
      <c r="U697" s="34">
        <f>IF($A697="",NA(),1-T697)</f>
        <v/>
      </c>
    </row>
    <row r="698"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3" t="n"/>
      <c r="N698" s="34">
        <f>IF($A698="",NA(),IF(C698&gt;0,D698/C698,0))</f>
        <v/>
      </c>
      <c r="O698" s="34">
        <f>IF($A698="",NA(),IF(E698&gt;0,F698/E698,0))</f>
        <v/>
      </c>
      <c r="P698" s="34">
        <f>IF($A698="",NA(),IF(K698+L698&gt;0,K698/(K698+L698),0.5))</f>
        <v/>
      </c>
      <c r="Q698" s="34">
        <f>IF($A698="",NA(),1-P698)</f>
        <v/>
      </c>
      <c r="R698" s="33">
        <f>IF($A698="",NA(),MAX(0,E698-F698)*IF(G698&gt;0,H698/G698,COMPAREC_PAD)*IF(I698&gt;0,J698/I698,VALIDOS_PAD))</f>
        <v/>
      </c>
      <c r="S698" s="34">
        <f>IF($A698="",NA(),IF(R698&gt;0,0.5-(K698-L698)/(2*R698),0))</f>
        <v/>
      </c>
      <c r="T698" s="34">
        <f>IF($A698="",NA(),IF(R698&lt;=0,IF(K698&gt;L698,1,IF(K698&lt;L698,0,0.5)),1-NORMDIST(S698,P698+AJUSTE,SIGMA,TRUE)))</f>
        <v/>
      </c>
      <c r="U698" s="34">
        <f>IF($A698="",NA(),1-T698)</f>
        <v/>
      </c>
    </row>
    <row r="699"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3" t="n"/>
      <c r="N699" s="34">
        <f>IF($A699="",NA(),IF(C699&gt;0,D699/C699,0))</f>
        <v/>
      </c>
      <c r="O699" s="34">
        <f>IF($A699="",NA(),IF(E699&gt;0,F699/E699,0))</f>
        <v/>
      </c>
      <c r="P699" s="34">
        <f>IF($A699="",NA(),IF(K699+L699&gt;0,K699/(K699+L699),0.5))</f>
        <v/>
      </c>
      <c r="Q699" s="34">
        <f>IF($A699="",NA(),1-P699)</f>
        <v/>
      </c>
      <c r="R699" s="33">
        <f>IF($A699="",NA(),MAX(0,E699-F699)*IF(G699&gt;0,H699/G699,COMPAREC_PAD)*IF(I699&gt;0,J699/I699,VALIDOS_PAD))</f>
        <v/>
      </c>
      <c r="S699" s="34">
        <f>IF($A699="",NA(),IF(R699&gt;0,0.5-(K699-L699)/(2*R699),0))</f>
        <v/>
      </c>
      <c r="T699" s="34">
        <f>IF($A699="",NA(),IF(R699&lt;=0,IF(K699&gt;L699,1,IF(K699&lt;L699,0,0.5)),1-NORMDIST(S699,P699+AJUSTE,SIGMA,TRUE)))</f>
        <v/>
      </c>
      <c r="U699" s="34">
        <f>IF($A699="",NA(),1-T699)</f>
        <v/>
      </c>
    </row>
    <row r="700"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3" t="n"/>
      <c r="N700" s="34">
        <f>IF($A700="",NA(),IF(C700&gt;0,D700/C700,0))</f>
        <v/>
      </c>
      <c r="O700" s="34">
        <f>IF($A700="",NA(),IF(E700&gt;0,F700/E700,0))</f>
        <v/>
      </c>
      <c r="P700" s="34">
        <f>IF($A700="",NA(),IF(K700+L700&gt;0,K700/(K700+L700),0.5))</f>
        <v/>
      </c>
      <c r="Q700" s="34">
        <f>IF($A700="",NA(),1-P700)</f>
        <v/>
      </c>
      <c r="R700" s="33">
        <f>IF($A700="",NA(),MAX(0,E700-F700)*IF(G700&gt;0,H700/G700,COMPAREC_PAD)*IF(I700&gt;0,J700/I700,VALIDOS_PAD))</f>
        <v/>
      </c>
      <c r="S700" s="34">
        <f>IF($A700="",NA(),IF(R700&gt;0,0.5-(K700-L700)/(2*R700),0))</f>
        <v/>
      </c>
      <c r="T700" s="34">
        <f>IF($A700="",NA(),IF(R700&lt;=0,IF(K700&gt;L700,1,IF(K700&lt;L700,0,0.5)),1-NORMDIST(S700,P700+AJUSTE,SIGMA,TRUE)))</f>
        <v/>
      </c>
      <c r="U700" s="34">
        <f>IF($A700="",NA(),1-T700)</f>
        <v/>
      </c>
    </row>
    <row r="701"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3" t="n"/>
      <c r="N701" s="34">
        <f>IF($A701="",NA(),IF(C701&gt;0,D701/C701,0))</f>
        <v/>
      </c>
      <c r="O701" s="34">
        <f>IF($A701="",NA(),IF(E701&gt;0,F701/E701,0))</f>
        <v/>
      </c>
      <c r="P701" s="34">
        <f>IF($A701="",NA(),IF(K701+L701&gt;0,K701/(K701+L701),0.5))</f>
        <v/>
      </c>
      <c r="Q701" s="34">
        <f>IF($A701="",NA(),1-P701)</f>
        <v/>
      </c>
      <c r="R701" s="33">
        <f>IF($A701="",NA(),MAX(0,E701-F701)*IF(G701&gt;0,H701/G701,COMPAREC_PAD)*IF(I701&gt;0,J701/I701,VALIDOS_PAD))</f>
        <v/>
      </c>
      <c r="S701" s="34">
        <f>IF($A701="",NA(),IF(R701&gt;0,0.5-(K701-L701)/(2*R701),0))</f>
        <v/>
      </c>
      <c r="T701" s="34">
        <f>IF($A701="",NA(),IF(R701&lt;=0,IF(K701&gt;L701,1,IF(K701&lt;L701,0,0.5)),1-NORMDIST(S701,P701+AJUSTE,SIGMA,TRUE)))</f>
        <v/>
      </c>
      <c r="U701" s="34">
        <f>IF($A701="",NA(),1-T701)</f>
        <v/>
      </c>
    </row>
    <row r="702"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3" t="n"/>
      <c r="N702" s="34">
        <f>IF($A702="",NA(),IF(C702&gt;0,D702/C702,0))</f>
        <v/>
      </c>
      <c r="O702" s="34">
        <f>IF($A702="",NA(),IF(E702&gt;0,F702/E702,0))</f>
        <v/>
      </c>
      <c r="P702" s="34">
        <f>IF($A702="",NA(),IF(K702+L702&gt;0,K702/(K702+L702),0.5))</f>
        <v/>
      </c>
      <c r="Q702" s="34">
        <f>IF($A702="",NA(),1-P702)</f>
        <v/>
      </c>
      <c r="R702" s="33">
        <f>IF($A702="",NA(),MAX(0,E702-F702)*IF(G702&gt;0,H702/G702,COMPAREC_PAD)*IF(I702&gt;0,J702/I702,VALIDOS_PAD))</f>
        <v/>
      </c>
      <c r="S702" s="34">
        <f>IF($A702="",NA(),IF(R702&gt;0,0.5-(K702-L702)/(2*R702),0))</f>
        <v/>
      </c>
      <c r="T702" s="34">
        <f>IF($A702="",NA(),IF(R702&lt;=0,IF(K702&gt;L702,1,IF(K702&lt;L702,0,0.5)),1-NORMDIST(S702,P702+AJUSTE,SIGMA,TRUE)))</f>
        <v/>
      </c>
      <c r="U702" s="34">
        <f>IF($A702="",NA(),1-T702)</f>
        <v/>
      </c>
    </row>
    <row r="703">
      <c r="C703" s="33" t="n"/>
      <c r="D703" s="33" t="n"/>
      <c r="E703" s="33" t="n"/>
      <c r="F703" s="33" t="n"/>
      <c r="G703" s="33" t="n"/>
      <c r="H703" s="33" t="n"/>
      <c r="I703" s="33" t="n"/>
      <c r="J703" s="33" t="n"/>
      <c r="K703" s="33" t="n"/>
      <c r="L703" s="33" t="n"/>
      <c r="N703" s="34">
        <f>IF($A703="",NA(),IF(C703&gt;0,D703/C703,0))</f>
        <v/>
      </c>
      <c r="O703" s="34">
        <f>IF($A703="",NA(),IF(E703&gt;0,F703/E703,0))</f>
        <v/>
      </c>
      <c r="P703" s="34">
        <f>IF($A703="",NA(),IF(K703+L703&gt;0,K703/(K703+L703),0.5))</f>
        <v/>
      </c>
      <c r="Q703" s="34">
        <f>IF($A703="",NA(),1-P703)</f>
        <v/>
      </c>
      <c r="R703" s="33">
        <f>IF($A703="",NA(),MAX(0,E703-F703)*IF(G703&gt;0,H703/G703,COMPAREC_PAD)*IF(I703&gt;0,J703/I703,VALIDOS_PAD))</f>
        <v/>
      </c>
      <c r="S703" s="34">
        <f>IF($A703="",NA(),IF(R703&gt;0,0.5-(K703-L703)/(2*R703),0))</f>
        <v/>
      </c>
      <c r="T703" s="34">
        <f>IF($A703="",NA(),IF(R703&lt;=0,IF(K703&gt;L703,1,IF(K703&lt;L703,0,0.5)),1-NORMDIST(S703,P703+AJUSTE,SIGMA,TRUE)))</f>
        <v/>
      </c>
      <c r="U703" s="34">
        <f>IF($A703="",NA(),1-T703)</f>
        <v/>
      </c>
    </row>
    <row r="704"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3" t="n"/>
      <c r="N704" s="34">
        <f>IF($A704="",NA(),IF(C704&gt;0,D704/C704,0))</f>
        <v/>
      </c>
      <c r="O704" s="34">
        <f>IF($A704="",NA(),IF(E704&gt;0,F704/E704,0))</f>
        <v/>
      </c>
      <c r="P704" s="34">
        <f>IF($A704="",NA(),IF(K704+L704&gt;0,K704/(K704+L704),0.5))</f>
        <v/>
      </c>
      <c r="Q704" s="34">
        <f>IF($A704="",NA(),1-P704)</f>
        <v/>
      </c>
      <c r="R704" s="33">
        <f>IF($A704="",NA(),MAX(0,E704-F704)*IF(G704&gt;0,H704/G704,COMPAREC_PAD)*IF(I704&gt;0,J704/I704,VALIDOS_PAD))</f>
        <v/>
      </c>
      <c r="S704" s="34">
        <f>IF($A704="",NA(),IF(R704&gt;0,0.5-(K704-L704)/(2*R704),0))</f>
        <v/>
      </c>
      <c r="T704" s="34">
        <f>IF($A704="",NA(),IF(R704&lt;=0,IF(K704&gt;L704,1,IF(K704&lt;L704,0,0.5)),1-NORMDIST(S704,P704+AJUSTE,SIGMA,TRUE)))</f>
        <v/>
      </c>
      <c r="U704" s="34">
        <f>IF($A704="",NA(),1-T704)</f>
        <v/>
      </c>
    </row>
    <row r="705">
      <c r="C705" s="33" t="n"/>
      <c r="D705" s="33" t="n"/>
      <c r="E705" s="33" t="n"/>
      <c r="F705" s="33" t="n"/>
      <c r="G705" s="33" t="n"/>
      <c r="H705" s="33" t="n"/>
      <c r="I705" s="33" t="n"/>
      <c r="J705" s="33" t="n"/>
      <c r="K705" s="33" t="n"/>
      <c r="L705" s="33" t="n"/>
      <c r="N705" s="34">
        <f>IF($A705="",NA(),IF(C705&gt;0,D705/C705,0))</f>
        <v/>
      </c>
      <c r="O705" s="34">
        <f>IF($A705="",NA(),IF(E705&gt;0,F705/E705,0))</f>
        <v/>
      </c>
      <c r="P705" s="34">
        <f>IF($A705="",NA(),IF(K705+L705&gt;0,K705/(K705+L705),0.5))</f>
        <v/>
      </c>
      <c r="Q705" s="34">
        <f>IF($A705="",NA(),1-P705)</f>
        <v/>
      </c>
      <c r="R705" s="33">
        <f>IF($A705="",NA(),MAX(0,E705-F705)*IF(G705&gt;0,H705/G705,COMPAREC_PAD)*IF(I705&gt;0,J705/I705,VALIDOS_PAD))</f>
        <v/>
      </c>
      <c r="S705" s="34">
        <f>IF($A705="",NA(),IF(R705&gt;0,0.5-(K705-L705)/(2*R705),0))</f>
        <v/>
      </c>
      <c r="T705" s="34">
        <f>IF($A705="",NA(),IF(R705&lt;=0,IF(K705&gt;L705,1,IF(K705&lt;L705,0,0.5)),1-NORMDIST(S705,P705+AJUSTE,SIGMA,TRUE)))</f>
        <v/>
      </c>
      <c r="U705" s="34">
        <f>IF($A705="",NA(),1-T705)</f>
        <v/>
      </c>
    </row>
    <row r="706"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3" t="n"/>
      <c r="N706" s="34">
        <f>IF($A706="",NA(),IF(C706&gt;0,D706/C706,0))</f>
        <v/>
      </c>
      <c r="O706" s="34">
        <f>IF($A706="",NA(),IF(E706&gt;0,F706/E706,0))</f>
        <v/>
      </c>
      <c r="P706" s="34">
        <f>IF($A706="",NA(),IF(K706+L706&gt;0,K706/(K706+L706),0.5))</f>
        <v/>
      </c>
      <c r="Q706" s="34">
        <f>IF($A706="",NA(),1-P706)</f>
        <v/>
      </c>
      <c r="R706" s="33">
        <f>IF($A706="",NA(),MAX(0,E706-F706)*IF(G706&gt;0,H706/G706,COMPAREC_PAD)*IF(I706&gt;0,J706/I706,VALIDOS_PAD))</f>
        <v/>
      </c>
      <c r="S706" s="34">
        <f>IF($A706="",NA(),IF(R706&gt;0,0.5-(K706-L706)/(2*R706),0))</f>
        <v/>
      </c>
      <c r="T706" s="34">
        <f>IF($A706="",NA(),IF(R706&lt;=0,IF(K706&gt;L706,1,IF(K706&lt;L706,0,0.5)),1-NORMDIST(S706,P706+AJUSTE,SIGMA,TRUE)))</f>
        <v/>
      </c>
      <c r="U706" s="34">
        <f>IF($A706="",NA(),1-T706)</f>
        <v/>
      </c>
    </row>
    <row r="707"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3" t="n"/>
      <c r="L707" s="33" t="n"/>
      <c r="N707" s="34">
        <f>IF($A707="",NA(),IF(C707&gt;0,D707/C707,0))</f>
        <v/>
      </c>
      <c r="O707" s="34">
        <f>IF($A707="",NA(),IF(E707&gt;0,F707/E707,0))</f>
        <v/>
      </c>
      <c r="P707" s="34">
        <f>IF($A707="",NA(),IF(K707+L707&gt;0,K707/(K707+L707),0.5))</f>
        <v/>
      </c>
      <c r="Q707" s="34">
        <f>IF($A707="",NA(),1-P707)</f>
        <v/>
      </c>
      <c r="R707" s="33">
        <f>IF($A707="",NA(),MAX(0,E707-F707)*IF(G707&gt;0,H707/G707,COMPAREC_PAD)*IF(I707&gt;0,J707/I707,VALIDOS_PAD))</f>
        <v/>
      </c>
      <c r="S707" s="34">
        <f>IF($A707="",NA(),IF(R707&gt;0,0.5-(K707-L707)/(2*R707),0))</f>
        <v/>
      </c>
      <c r="T707" s="34">
        <f>IF($A707="",NA(),IF(R707&lt;=0,IF(K707&gt;L707,1,IF(K707&lt;L707,0,0.5)),1-NORMDIST(S707,P707+AJUSTE,SIGMA,TRUE)))</f>
        <v/>
      </c>
      <c r="U707" s="34">
        <f>IF($A707="",NA(),1-T707)</f>
        <v/>
      </c>
    </row>
    <row r="708"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3" t="n"/>
      <c r="N708" s="34">
        <f>IF($A708="",NA(),IF(C708&gt;0,D708/C708,0))</f>
        <v/>
      </c>
      <c r="O708" s="34">
        <f>IF($A708="",NA(),IF(E708&gt;0,F708/E708,0))</f>
        <v/>
      </c>
      <c r="P708" s="34">
        <f>IF($A708="",NA(),IF(K708+L708&gt;0,K708/(K708+L708),0.5))</f>
        <v/>
      </c>
      <c r="Q708" s="34">
        <f>IF($A708="",NA(),1-P708)</f>
        <v/>
      </c>
      <c r="R708" s="33">
        <f>IF($A708="",NA(),MAX(0,E708-F708)*IF(G708&gt;0,H708/G708,COMPAREC_PAD)*IF(I708&gt;0,J708/I708,VALIDOS_PAD))</f>
        <v/>
      </c>
      <c r="S708" s="34">
        <f>IF($A708="",NA(),IF(R708&gt;0,0.5-(K708-L708)/(2*R708),0))</f>
        <v/>
      </c>
      <c r="T708" s="34">
        <f>IF($A708="",NA(),IF(R708&lt;=0,IF(K708&gt;L708,1,IF(K708&lt;L708,0,0.5)),1-NORMDIST(S708,P708+AJUSTE,SIGMA,TRUE)))</f>
        <v/>
      </c>
      <c r="U708" s="34">
        <f>IF($A708="",NA(),1-T708)</f>
        <v/>
      </c>
    </row>
    <row r="709">
      <c r="C709" s="33" t="n"/>
      <c r="D709" s="33" t="n"/>
      <c r="E709" s="33" t="n"/>
      <c r="F709" s="33" t="n"/>
      <c r="G709" s="33" t="n"/>
      <c r="H709" s="33" t="n"/>
      <c r="I709" s="33" t="n"/>
      <c r="J709" s="33" t="n"/>
      <c r="K709" s="33" t="n"/>
      <c r="L709" s="33" t="n"/>
      <c r="N709" s="34">
        <f>IF($A709="",NA(),IF(C709&gt;0,D709/C709,0))</f>
        <v/>
      </c>
      <c r="O709" s="34">
        <f>IF($A709="",NA(),IF(E709&gt;0,F709/E709,0))</f>
        <v/>
      </c>
      <c r="P709" s="34">
        <f>IF($A709="",NA(),IF(K709+L709&gt;0,K709/(K709+L709),0.5))</f>
        <v/>
      </c>
      <c r="Q709" s="34">
        <f>IF($A709="",NA(),1-P709)</f>
        <v/>
      </c>
      <c r="R709" s="33">
        <f>IF($A709="",NA(),MAX(0,E709-F709)*IF(G709&gt;0,H709/G709,COMPAREC_PAD)*IF(I709&gt;0,J709/I709,VALIDOS_PAD))</f>
        <v/>
      </c>
      <c r="S709" s="34">
        <f>IF($A709="",NA(),IF(R709&gt;0,0.5-(K709-L709)/(2*R709),0))</f>
        <v/>
      </c>
      <c r="T709" s="34">
        <f>IF($A709="",NA(),IF(R709&lt;=0,IF(K709&gt;L709,1,IF(K709&lt;L709,0,0.5)),1-NORMDIST(S709,P709+AJUSTE,SIGMA,TRUE)))</f>
        <v/>
      </c>
      <c r="U709" s="34">
        <f>IF($A709="",NA(),1-T709)</f>
        <v/>
      </c>
    </row>
    <row r="710"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3" t="n"/>
      <c r="N710" s="34">
        <f>IF($A710="",NA(),IF(C710&gt;0,D710/C710,0))</f>
        <v/>
      </c>
      <c r="O710" s="34">
        <f>IF($A710="",NA(),IF(E710&gt;0,F710/E710,0))</f>
        <v/>
      </c>
      <c r="P710" s="34">
        <f>IF($A710="",NA(),IF(K710+L710&gt;0,K710/(K710+L710),0.5))</f>
        <v/>
      </c>
      <c r="Q710" s="34">
        <f>IF($A710="",NA(),1-P710)</f>
        <v/>
      </c>
      <c r="R710" s="33">
        <f>IF($A710="",NA(),MAX(0,E710-F710)*IF(G710&gt;0,H710/G710,COMPAREC_PAD)*IF(I710&gt;0,J710/I710,VALIDOS_PAD))</f>
        <v/>
      </c>
      <c r="S710" s="34">
        <f>IF($A710="",NA(),IF(R710&gt;0,0.5-(K710-L710)/(2*R710),0))</f>
        <v/>
      </c>
      <c r="T710" s="34">
        <f>IF($A710="",NA(),IF(R710&lt;=0,IF(K710&gt;L710,1,IF(K710&lt;L710,0,0.5)),1-NORMDIST(S710,P710+AJUSTE,SIGMA,TRUE)))</f>
        <v/>
      </c>
      <c r="U710" s="34">
        <f>IF($A710="",NA(),1-T710)</f>
        <v/>
      </c>
    </row>
    <row r="711">
      <c r="C711" s="33" t="n"/>
      <c r="D711" s="33" t="n"/>
      <c r="E711" s="33" t="n"/>
      <c r="F711" s="33" t="n"/>
      <c r="G711" s="33" t="n"/>
      <c r="H711" s="33" t="n"/>
      <c r="I711" s="33" t="n"/>
      <c r="J711" s="33" t="n"/>
      <c r="K711" s="33" t="n"/>
      <c r="L711" s="33" t="n"/>
      <c r="N711" s="34">
        <f>IF($A711="",NA(),IF(C711&gt;0,D711/C711,0))</f>
        <v/>
      </c>
      <c r="O711" s="34">
        <f>IF($A711="",NA(),IF(E711&gt;0,F711/E711,0))</f>
        <v/>
      </c>
      <c r="P711" s="34">
        <f>IF($A711="",NA(),IF(K711+L711&gt;0,K711/(K711+L711),0.5))</f>
        <v/>
      </c>
      <c r="Q711" s="34">
        <f>IF($A711="",NA(),1-P711)</f>
        <v/>
      </c>
      <c r="R711" s="33">
        <f>IF($A711="",NA(),MAX(0,E711-F711)*IF(G711&gt;0,H711/G711,COMPAREC_PAD)*IF(I711&gt;0,J711/I711,VALIDOS_PAD))</f>
        <v/>
      </c>
      <c r="S711" s="34">
        <f>IF($A711="",NA(),IF(R711&gt;0,0.5-(K711-L711)/(2*R711),0))</f>
        <v/>
      </c>
      <c r="T711" s="34">
        <f>IF($A711="",NA(),IF(R711&lt;=0,IF(K711&gt;L711,1,IF(K711&lt;L711,0,0.5)),1-NORMDIST(S711,P711+AJUSTE,SIGMA,TRUE)))</f>
        <v/>
      </c>
      <c r="U711" s="34">
        <f>IF($A711="",NA(),1-T711)</f>
        <v/>
      </c>
    </row>
    <row r="712"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3" t="n"/>
      <c r="N712" s="34">
        <f>IF($A712="",NA(),IF(C712&gt;0,D712/C712,0))</f>
        <v/>
      </c>
      <c r="O712" s="34">
        <f>IF($A712="",NA(),IF(E712&gt;0,F712/E712,0))</f>
        <v/>
      </c>
      <c r="P712" s="34">
        <f>IF($A712="",NA(),IF(K712+L712&gt;0,K712/(K712+L712),0.5))</f>
        <v/>
      </c>
      <c r="Q712" s="34">
        <f>IF($A712="",NA(),1-P712)</f>
        <v/>
      </c>
      <c r="R712" s="33">
        <f>IF($A712="",NA(),MAX(0,E712-F712)*IF(G712&gt;0,H712/G712,COMPAREC_PAD)*IF(I712&gt;0,J712/I712,VALIDOS_PAD))</f>
        <v/>
      </c>
      <c r="S712" s="34">
        <f>IF($A712="",NA(),IF(R712&gt;0,0.5-(K712-L712)/(2*R712),0))</f>
        <v/>
      </c>
      <c r="T712" s="34">
        <f>IF($A712="",NA(),IF(R712&lt;=0,IF(K712&gt;L712,1,IF(K712&lt;L712,0,0.5)),1-NORMDIST(S712,P712+AJUSTE,SIGMA,TRUE)))</f>
        <v/>
      </c>
      <c r="U712" s="34">
        <f>IF($A712="",NA(),1-T712)</f>
        <v/>
      </c>
    </row>
    <row r="713">
      <c r="C713" s="33" t="n"/>
      <c r="D713" s="33" t="n"/>
      <c r="E713" s="33" t="n"/>
      <c r="F713" s="33" t="n"/>
      <c r="G713" s="33" t="n"/>
      <c r="H713" s="33" t="n"/>
      <c r="I713" s="33" t="n"/>
      <c r="J713" s="33" t="n"/>
      <c r="K713" s="33" t="n"/>
      <c r="L713" s="33" t="n"/>
      <c r="N713" s="34">
        <f>IF($A713="",NA(),IF(C713&gt;0,D713/C713,0))</f>
        <v/>
      </c>
      <c r="O713" s="34">
        <f>IF($A713="",NA(),IF(E713&gt;0,F713/E713,0))</f>
        <v/>
      </c>
      <c r="P713" s="34">
        <f>IF($A713="",NA(),IF(K713+L713&gt;0,K713/(K713+L713),0.5))</f>
        <v/>
      </c>
      <c r="Q713" s="34">
        <f>IF($A713="",NA(),1-P713)</f>
        <v/>
      </c>
      <c r="R713" s="33">
        <f>IF($A713="",NA(),MAX(0,E713-F713)*IF(G713&gt;0,H713/G713,COMPAREC_PAD)*IF(I713&gt;0,J713/I713,VALIDOS_PAD))</f>
        <v/>
      </c>
      <c r="S713" s="34">
        <f>IF($A713="",NA(),IF(R713&gt;0,0.5-(K713-L713)/(2*R713),0))</f>
        <v/>
      </c>
      <c r="T713" s="34">
        <f>IF($A713="",NA(),IF(R713&lt;=0,IF(K713&gt;L713,1,IF(K713&lt;L713,0,0.5)),1-NORMDIST(S713,P713+AJUSTE,SIGMA,TRUE)))</f>
        <v/>
      </c>
      <c r="U713" s="34">
        <f>IF($A713="",NA(),1-T713)</f>
        <v/>
      </c>
    </row>
    <row r="714"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3" t="n"/>
      <c r="N714" s="34">
        <f>IF($A714="",NA(),IF(C714&gt;0,D714/C714,0))</f>
        <v/>
      </c>
      <c r="O714" s="34">
        <f>IF($A714="",NA(),IF(E714&gt;0,F714/E714,0))</f>
        <v/>
      </c>
      <c r="P714" s="34">
        <f>IF($A714="",NA(),IF(K714+L714&gt;0,K714/(K714+L714),0.5))</f>
        <v/>
      </c>
      <c r="Q714" s="34">
        <f>IF($A714="",NA(),1-P714)</f>
        <v/>
      </c>
      <c r="R714" s="33">
        <f>IF($A714="",NA(),MAX(0,E714-F714)*IF(G714&gt;0,H714/G714,COMPAREC_PAD)*IF(I714&gt;0,J714/I714,VALIDOS_PAD))</f>
        <v/>
      </c>
      <c r="S714" s="34">
        <f>IF($A714="",NA(),IF(R714&gt;0,0.5-(K714-L714)/(2*R714),0))</f>
        <v/>
      </c>
      <c r="T714" s="34">
        <f>IF($A714="",NA(),IF(R714&lt;=0,IF(K714&gt;L714,1,IF(K714&lt;L714,0,0.5)),1-NORMDIST(S714,P714+AJUSTE,SIGMA,TRUE)))</f>
        <v/>
      </c>
      <c r="U714" s="34">
        <f>IF($A714="",NA(),1-T714)</f>
        <v/>
      </c>
    </row>
    <row r="715">
      <c r="C715" s="33" t="n"/>
      <c r="D715" s="33" t="n"/>
      <c r="E715" s="33" t="n"/>
      <c r="F715" s="33" t="n"/>
      <c r="G715" s="33" t="n"/>
      <c r="H715" s="33" t="n"/>
      <c r="I715" s="33" t="n"/>
      <c r="J715" s="33" t="n"/>
      <c r="K715" s="33" t="n"/>
      <c r="L715" s="33" t="n"/>
      <c r="N715" s="34">
        <f>IF($A715="",NA(),IF(C715&gt;0,D715/C715,0))</f>
        <v/>
      </c>
      <c r="O715" s="34">
        <f>IF($A715="",NA(),IF(E715&gt;0,F715/E715,0))</f>
        <v/>
      </c>
      <c r="P715" s="34">
        <f>IF($A715="",NA(),IF(K715+L715&gt;0,K715/(K715+L715),0.5))</f>
        <v/>
      </c>
      <c r="Q715" s="34">
        <f>IF($A715="",NA(),1-P715)</f>
        <v/>
      </c>
      <c r="R715" s="33">
        <f>IF($A715="",NA(),MAX(0,E715-F715)*IF(G715&gt;0,H715/G715,COMPAREC_PAD)*IF(I715&gt;0,J715/I715,VALIDOS_PAD))</f>
        <v/>
      </c>
      <c r="S715" s="34">
        <f>IF($A715="",NA(),IF(R715&gt;0,0.5-(K715-L715)/(2*R715),0))</f>
        <v/>
      </c>
      <c r="T715" s="34">
        <f>IF($A715="",NA(),IF(R715&lt;=0,IF(K715&gt;L715,1,IF(K715&lt;L715,0,0.5)),1-NORMDIST(S715,P715+AJUSTE,SIGMA,TRUE)))</f>
        <v/>
      </c>
      <c r="U715" s="34">
        <f>IF($A715="",NA(),1-T715)</f>
        <v/>
      </c>
    </row>
    <row r="716"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3" t="n"/>
      <c r="N716" s="34">
        <f>IF($A716="",NA(),IF(C716&gt;0,D716/C716,0))</f>
        <v/>
      </c>
      <c r="O716" s="34">
        <f>IF($A716="",NA(),IF(E716&gt;0,F716/E716,0))</f>
        <v/>
      </c>
      <c r="P716" s="34">
        <f>IF($A716="",NA(),IF(K716+L716&gt;0,K716/(K716+L716),0.5))</f>
        <v/>
      </c>
      <c r="Q716" s="34">
        <f>IF($A716="",NA(),1-P716)</f>
        <v/>
      </c>
      <c r="R716" s="33">
        <f>IF($A716="",NA(),MAX(0,E716-F716)*IF(G716&gt;0,H716/G716,COMPAREC_PAD)*IF(I716&gt;0,J716/I716,VALIDOS_PAD))</f>
        <v/>
      </c>
      <c r="S716" s="34">
        <f>IF($A716="",NA(),IF(R716&gt;0,0.5-(K716-L716)/(2*R716),0))</f>
        <v/>
      </c>
      <c r="T716" s="34">
        <f>IF($A716="",NA(),IF(R716&lt;=0,IF(K716&gt;L716,1,IF(K716&lt;L716,0,0.5)),1-NORMDIST(S716,P716+AJUSTE,SIGMA,TRUE)))</f>
        <v/>
      </c>
      <c r="U716" s="34">
        <f>IF($A716="",NA(),1-T716)</f>
        <v/>
      </c>
    </row>
    <row r="717">
      <c r="C717" s="33" t="n"/>
      <c r="D717" s="33" t="n"/>
      <c r="E717" s="33" t="n"/>
      <c r="F717" s="33" t="n"/>
      <c r="G717" s="33" t="n"/>
      <c r="H717" s="33" t="n"/>
      <c r="I717" s="33" t="n"/>
      <c r="J717" s="33" t="n"/>
      <c r="K717" s="33" t="n"/>
      <c r="L717" s="33" t="n"/>
      <c r="N717" s="34">
        <f>IF($A717="",NA(),IF(C717&gt;0,D717/C717,0))</f>
        <v/>
      </c>
      <c r="O717" s="34">
        <f>IF($A717="",NA(),IF(E717&gt;0,F717/E717,0))</f>
        <v/>
      </c>
      <c r="P717" s="34">
        <f>IF($A717="",NA(),IF(K717+L717&gt;0,K717/(K717+L717),0.5))</f>
        <v/>
      </c>
      <c r="Q717" s="34">
        <f>IF($A717="",NA(),1-P717)</f>
        <v/>
      </c>
      <c r="R717" s="33">
        <f>IF($A717="",NA(),MAX(0,E717-F717)*IF(G717&gt;0,H717/G717,COMPAREC_PAD)*IF(I717&gt;0,J717/I717,VALIDOS_PAD))</f>
        <v/>
      </c>
      <c r="S717" s="34">
        <f>IF($A717="",NA(),IF(R717&gt;0,0.5-(K717-L717)/(2*R717),0))</f>
        <v/>
      </c>
      <c r="T717" s="34">
        <f>IF($A717="",NA(),IF(R717&lt;=0,IF(K717&gt;L717,1,IF(K717&lt;L717,0,0.5)),1-NORMDIST(S717,P717+AJUSTE,SIGMA,TRUE)))</f>
        <v/>
      </c>
      <c r="U717" s="34">
        <f>IF($A717="",NA(),1-T717)</f>
        <v/>
      </c>
    </row>
    <row r="718"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3" t="n"/>
      <c r="N718" s="34">
        <f>IF($A718="",NA(),IF(C718&gt;0,D718/C718,0))</f>
        <v/>
      </c>
      <c r="O718" s="34">
        <f>IF($A718="",NA(),IF(E718&gt;0,F718/E718,0))</f>
        <v/>
      </c>
      <c r="P718" s="34">
        <f>IF($A718="",NA(),IF(K718+L718&gt;0,K718/(K718+L718),0.5))</f>
        <v/>
      </c>
      <c r="Q718" s="34">
        <f>IF($A718="",NA(),1-P718)</f>
        <v/>
      </c>
      <c r="R718" s="33">
        <f>IF($A718="",NA(),MAX(0,E718-F718)*IF(G718&gt;0,H718/G718,COMPAREC_PAD)*IF(I718&gt;0,J718/I718,VALIDOS_PAD))</f>
        <v/>
      </c>
      <c r="S718" s="34">
        <f>IF($A718="",NA(),IF(R718&gt;0,0.5-(K718-L718)/(2*R718),0))</f>
        <v/>
      </c>
      <c r="T718" s="34">
        <f>IF($A718="",NA(),IF(R718&lt;=0,IF(K718&gt;L718,1,IF(K718&lt;L718,0,0.5)),1-NORMDIST(S718,P718+AJUSTE,SIGMA,TRUE)))</f>
        <v/>
      </c>
      <c r="U718" s="34">
        <f>IF($A718="",NA(),1-T718)</f>
        <v/>
      </c>
    </row>
    <row r="719">
      <c r="C719" s="33" t="n"/>
      <c r="D719" s="33" t="n"/>
      <c r="E719" s="33" t="n"/>
      <c r="F719" s="33" t="n"/>
      <c r="G719" s="33" t="n"/>
      <c r="H719" s="33" t="n"/>
      <c r="I719" s="33" t="n"/>
      <c r="J719" s="33" t="n"/>
      <c r="K719" s="33" t="n"/>
      <c r="L719" s="33" t="n"/>
      <c r="N719" s="34">
        <f>IF($A719="",NA(),IF(C719&gt;0,D719/C719,0))</f>
        <v/>
      </c>
      <c r="O719" s="34">
        <f>IF($A719="",NA(),IF(E719&gt;0,F719/E719,0))</f>
        <v/>
      </c>
      <c r="P719" s="34">
        <f>IF($A719="",NA(),IF(K719+L719&gt;0,K719/(K719+L719),0.5))</f>
        <v/>
      </c>
      <c r="Q719" s="34">
        <f>IF($A719="",NA(),1-P719)</f>
        <v/>
      </c>
      <c r="R719" s="33">
        <f>IF($A719="",NA(),MAX(0,E719-F719)*IF(G719&gt;0,H719/G719,COMPAREC_PAD)*IF(I719&gt;0,J719/I719,VALIDOS_PAD))</f>
        <v/>
      </c>
      <c r="S719" s="34">
        <f>IF($A719="",NA(),IF(R719&gt;0,0.5-(K719-L719)/(2*R719),0))</f>
        <v/>
      </c>
      <c r="T719" s="34">
        <f>IF($A719="",NA(),IF(R719&lt;=0,IF(K719&gt;L719,1,IF(K719&lt;L719,0,0.5)),1-NORMDIST(S719,P719+AJUSTE,SIGMA,TRUE)))</f>
        <v/>
      </c>
      <c r="U719" s="34">
        <f>IF($A719="",NA(),1-T719)</f>
        <v/>
      </c>
    </row>
    <row r="720"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3" t="n"/>
      <c r="N720" s="34">
        <f>IF($A720="",NA(),IF(C720&gt;0,D720/C720,0))</f>
        <v/>
      </c>
      <c r="O720" s="34">
        <f>IF($A720="",NA(),IF(E720&gt;0,F720/E720,0))</f>
        <v/>
      </c>
      <c r="P720" s="34">
        <f>IF($A720="",NA(),IF(K720+L720&gt;0,K720/(K720+L720),0.5))</f>
        <v/>
      </c>
      <c r="Q720" s="34">
        <f>IF($A720="",NA(),1-P720)</f>
        <v/>
      </c>
      <c r="R720" s="33">
        <f>IF($A720="",NA(),MAX(0,E720-F720)*IF(G720&gt;0,H720/G720,COMPAREC_PAD)*IF(I720&gt;0,J720/I720,VALIDOS_PAD))</f>
        <v/>
      </c>
      <c r="S720" s="34">
        <f>IF($A720="",NA(),IF(R720&gt;0,0.5-(K720-L720)/(2*R720),0))</f>
        <v/>
      </c>
      <c r="T720" s="34">
        <f>IF($A720="",NA(),IF(R720&lt;=0,IF(K720&gt;L720,1,IF(K720&lt;L720,0,0.5)),1-NORMDIST(S720,P720+AJUSTE,SIGMA,TRUE)))</f>
        <v/>
      </c>
      <c r="U720" s="34">
        <f>IF($A720="",NA(),1-T720)</f>
        <v/>
      </c>
    </row>
    <row r="721">
      <c r="C721" s="33" t="n"/>
      <c r="D721" s="33" t="n"/>
      <c r="E721" s="33" t="n"/>
      <c r="F721" s="33" t="n"/>
      <c r="G721" s="33" t="n"/>
      <c r="H721" s="33" t="n"/>
      <c r="I721" s="33" t="n"/>
      <c r="J721" s="33" t="n"/>
      <c r="K721" s="33" t="n"/>
      <c r="L721" s="33" t="n"/>
      <c r="N721" s="34">
        <f>IF($A721="",NA(),IF(C721&gt;0,D721/C721,0))</f>
        <v/>
      </c>
      <c r="O721" s="34">
        <f>IF($A721="",NA(),IF(E721&gt;0,F721/E721,0))</f>
        <v/>
      </c>
      <c r="P721" s="34">
        <f>IF($A721="",NA(),IF(K721+L721&gt;0,K721/(K721+L721),0.5))</f>
        <v/>
      </c>
      <c r="Q721" s="34">
        <f>IF($A721="",NA(),1-P721)</f>
        <v/>
      </c>
      <c r="R721" s="33">
        <f>IF($A721="",NA(),MAX(0,E721-F721)*IF(G721&gt;0,H721/G721,COMPAREC_PAD)*IF(I721&gt;0,J721/I721,VALIDOS_PAD))</f>
        <v/>
      </c>
      <c r="S721" s="34">
        <f>IF($A721="",NA(),IF(R721&gt;0,0.5-(K721-L721)/(2*R721),0))</f>
        <v/>
      </c>
      <c r="T721" s="34">
        <f>IF($A721="",NA(),IF(R721&lt;=0,IF(K721&gt;L721,1,IF(K721&lt;L721,0,0.5)),1-NORMDIST(S721,P721+AJUSTE,SIGMA,TRUE)))</f>
        <v/>
      </c>
      <c r="U721" s="34">
        <f>IF($A721="",NA(),1-T721)</f>
        <v/>
      </c>
    </row>
    <row r="722"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3" t="n"/>
      <c r="N722" s="34">
        <f>IF($A722="",NA(),IF(C722&gt;0,D722/C722,0))</f>
        <v/>
      </c>
      <c r="O722" s="34">
        <f>IF($A722="",NA(),IF(E722&gt;0,F722/E722,0))</f>
        <v/>
      </c>
      <c r="P722" s="34">
        <f>IF($A722="",NA(),IF(K722+L722&gt;0,K722/(K722+L722),0.5))</f>
        <v/>
      </c>
      <c r="Q722" s="34">
        <f>IF($A722="",NA(),1-P722)</f>
        <v/>
      </c>
      <c r="R722" s="33">
        <f>IF($A722="",NA(),MAX(0,E722-F722)*IF(G722&gt;0,H722/G722,COMPAREC_PAD)*IF(I722&gt;0,J722/I722,VALIDOS_PAD))</f>
        <v/>
      </c>
      <c r="S722" s="34">
        <f>IF($A722="",NA(),IF(R722&gt;0,0.5-(K722-L722)/(2*R722),0))</f>
        <v/>
      </c>
      <c r="T722" s="34">
        <f>IF($A722="",NA(),IF(R722&lt;=0,IF(K722&gt;L722,1,IF(K722&lt;L722,0,0.5)),1-NORMDIST(S722,P722+AJUSTE,SIGMA,TRUE)))</f>
        <v/>
      </c>
      <c r="U722" s="34">
        <f>IF($A722="",NA(),1-T722)</f>
        <v/>
      </c>
    </row>
    <row r="723">
      <c r="C723" s="33" t="n"/>
      <c r="D723" s="33" t="n"/>
      <c r="E723" s="33" t="n"/>
      <c r="F723" s="33" t="n"/>
      <c r="G723" s="33" t="n"/>
      <c r="H723" s="33" t="n"/>
      <c r="I723" s="33" t="n"/>
      <c r="J723" s="33" t="n"/>
      <c r="K723" s="33" t="n"/>
      <c r="L723" s="33" t="n"/>
      <c r="N723" s="34">
        <f>IF($A723="",NA(),IF(C723&gt;0,D723/C723,0))</f>
        <v/>
      </c>
      <c r="O723" s="34">
        <f>IF($A723="",NA(),IF(E723&gt;0,F723/E723,0))</f>
        <v/>
      </c>
      <c r="P723" s="34">
        <f>IF($A723="",NA(),IF(K723+L723&gt;0,K723/(K723+L723),0.5))</f>
        <v/>
      </c>
      <c r="Q723" s="34">
        <f>IF($A723="",NA(),1-P723)</f>
        <v/>
      </c>
      <c r="R723" s="33">
        <f>IF($A723="",NA(),MAX(0,E723-F723)*IF(G723&gt;0,H723/G723,COMPAREC_PAD)*IF(I723&gt;0,J723/I723,VALIDOS_PAD))</f>
        <v/>
      </c>
      <c r="S723" s="34">
        <f>IF($A723="",NA(),IF(R723&gt;0,0.5-(K723-L723)/(2*R723),0))</f>
        <v/>
      </c>
      <c r="T723" s="34">
        <f>IF($A723="",NA(),IF(R723&lt;=0,IF(K723&gt;L723,1,IF(K723&lt;L723,0,0.5)),1-NORMDIST(S723,P723+AJUSTE,SIGMA,TRUE)))</f>
        <v/>
      </c>
      <c r="U723" s="34">
        <f>IF($A723="",NA(),1-T723)</f>
        <v/>
      </c>
    </row>
    <row r="724"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3" t="n"/>
      <c r="N724" s="34">
        <f>IF($A724="",NA(),IF(C724&gt;0,D724/C724,0))</f>
        <v/>
      </c>
      <c r="O724" s="34">
        <f>IF($A724="",NA(),IF(E724&gt;0,F724/E724,0))</f>
        <v/>
      </c>
      <c r="P724" s="34">
        <f>IF($A724="",NA(),IF(K724+L724&gt;0,K724/(K724+L724),0.5))</f>
        <v/>
      </c>
      <c r="Q724" s="34">
        <f>IF($A724="",NA(),1-P724)</f>
        <v/>
      </c>
      <c r="R724" s="33">
        <f>IF($A724="",NA(),MAX(0,E724-F724)*IF(G724&gt;0,H724/G724,COMPAREC_PAD)*IF(I724&gt;0,J724/I724,VALIDOS_PAD))</f>
        <v/>
      </c>
      <c r="S724" s="34">
        <f>IF($A724="",NA(),IF(R724&gt;0,0.5-(K724-L724)/(2*R724),0))</f>
        <v/>
      </c>
      <c r="T724" s="34">
        <f>IF($A724="",NA(),IF(R724&lt;=0,IF(K724&gt;L724,1,IF(K724&lt;L724,0,0.5)),1-NORMDIST(S724,P724+AJUSTE,SIGMA,TRUE)))</f>
        <v/>
      </c>
      <c r="U724" s="34">
        <f>IF($A724="",NA(),1-T724)</f>
        <v/>
      </c>
    </row>
    <row r="725">
      <c r="C725" s="33" t="n"/>
      <c r="D725" s="33" t="n"/>
      <c r="E725" s="33" t="n"/>
      <c r="F725" s="33" t="n"/>
      <c r="G725" s="33" t="n"/>
      <c r="H725" s="33" t="n"/>
      <c r="I725" s="33" t="n"/>
      <c r="J725" s="33" t="n"/>
      <c r="K725" s="33" t="n"/>
      <c r="L725" s="33" t="n"/>
      <c r="N725" s="34">
        <f>IF($A725="",NA(),IF(C725&gt;0,D725/C725,0))</f>
        <v/>
      </c>
      <c r="O725" s="34">
        <f>IF($A725="",NA(),IF(E725&gt;0,F725/E725,0))</f>
        <v/>
      </c>
      <c r="P725" s="34">
        <f>IF($A725="",NA(),IF(K725+L725&gt;0,K725/(K725+L725),0.5))</f>
        <v/>
      </c>
      <c r="Q725" s="34">
        <f>IF($A725="",NA(),1-P725)</f>
        <v/>
      </c>
      <c r="R725" s="33">
        <f>IF($A725="",NA(),MAX(0,E725-F725)*IF(G725&gt;0,H725/G725,COMPAREC_PAD)*IF(I725&gt;0,J725/I725,VALIDOS_PAD))</f>
        <v/>
      </c>
      <c r="S725" s="34">
        <f>IF($A725="",NA(),IF(R725&gt;0,0.5-(K725-L725)/(2*R725),0))</f>
        <v/>
      </c>
      <c r="T725" s="34">
        <f>IF($A725="",NA(),IF(R725&lt;=0,IF(K725&gt;L725,1,IF(K725&lt;L725,0,0.5)),1-NORMDIST(S725,P725+AJUSTE,SIGMA,TRUE)))</f>
        <v/>
      </c>
      <c r="U725" s="34">
        <f>IF($A725="",NA(),1-T725)</f>
        <v/>
      </c>
    </row>
    <row r="726"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3" t="n"/>
      <c r="N726" s="34">
        <f>IF($A726="",NA(),IF(C726&gt;0,D726/C726,0))</f>
        <v/>
      </c>
      <c r="O726" s="34">
        <f>IF($A726="",NA(),IF(E726&gt;0,F726/E726,0))</f>
        <v/>
      </c>
      <c r="P726" s="34">
        <f>IF($A726="",NA(),IF(K726+L726&gt;0,K726/(K726+L726),0.5))</f>
        <v/>
      </c>
      <c r="Q726" s="34">
        <f>IF($A726="",NA(),1-P726)</f>
        <v/>
      </c>
      <c r="R726" s="33">
        <f>IF($A726="",NA(),MAX(0,E726-F726)*IF(G726&gt;0,H726/G726,COMPAREC_PAD)*IF(I726&gt;0,J726/I726,VALIDOS_PAD))</f>
        <v/>
      </c>
      <c r="S726" s="34">
        <f>IF($A726="",NA(),IF(R726&gt;0,0.5-(K726-L726)/(2*R726),0))</f>
        <v/>
      </c>
      <c r="T726" s="34">
        <f>IF($A726="",NA(),IF(R726&lt;=0,IF(K726&gt;L726,1,IF(K726&lt;L726,0,0.5)),1-NORMDIST(S726,P726+AJUSTE,SIGMA,TRUE)))</f>
        <v/>
      </c>
      <c r="U726" s="34">
        <f>IF($A726="",NA(),1-T726)</f>
        <v/>
      </c>
    </row>
    <row r="727">
      <c r="C727" s="33" t="n"/>
      <c r="D727" s="33" t="n"/>
      <c r="E727" s="33" t="n"/>
      <c r="F727" s="33" t="n"/>
      <c r="G727" s="33" t="n"/>
      <c r="H727" s="33" t="n"/>
      <c r="I727" s="33" t="n"/>
      <c r="J727" s="33" t="n"/>
      <c r="K727" s="33" t="n"/>
      <c r="L727" s="33" t="n"/>
      <c r="N727" s="34">
        <f>IF($A727="",NA(),IF(C727&gt;0,D727/C727,0))</f>
        <v/>
      </c>
      <c r="O727" s="34">
        <f>IF($A727="",NA(),IF(E727&gt;0,F727/E727,0))</f>
        <v/>
      </c>
      <c r="P727" s="34">
        <f>IF($A727="",NA(),IF(K727+L727&gt;0,K727/(K727+L727),0.5))</f>
        <v/>
      </c>
      <c r="Q727" s="34">
        <f>IF($A727="",NA(),1-P727)</f>
        <v/>
      </c>
      <c r="R727" s="33">
        <f>IF($A727="",NA(),MAX(0,E727-F727)*IF(G727&gt;0,H727/G727,COMPAREC_PAD)*IF(I727&gt;0,J727/I727,VALIDOS_PAD))</f>
        <v/>
      </c>
      <c r="S727" s="34">
        <f>IF($A727="",NA(),IF(R727&gt;0,0.5-(K727-L727)/(2*R727),0))</f>
        <v/>
      </c>
      <c r="T727" s="34">
        <f>IF($A727="",NA(),IF(R727&lt;=0,IF(K727&gt;L727,1,IF(K727&lt;L727,0,0.5)),1-NORMDIST(S727,P727+AJUSTE,SIGMA,TRUE)))</f>
        <v/>
      </c>
      <c r="U727" s="34">
        <f>IF($A727="",NA(),1-T727)</f>
        <v/>
      </c>
    </row>
    <row r="728"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3" t="n"/>
      <c r="N728" s="34">
        <f>IF($A728="",NA(),IF(C728&gt;0,D728/C728,0))</f>
        <v/>
      </c>
      <c r="O728" s="34">
        <f>IF($A728="",NA(),IF(E728&gt;0,F728/E728,0))</f>
        <v/>
      </c>
      <c r="P728" s="34">
        <f>IF($A728="",NA(),IF(K728+L728&gt;0,K728/(K728+L728),0.5))</f>
        <v/>
      </c>
      <c r="Q728" s="34">
        <f>IF($A728="",NA(),1-P728)</f>
        <v/>
      </c>
      <c r="R728" s="33">
        <f>IF($A728="",NA(),MAX(0,E728-F728)*IF(G728&gt;0,H728/G728,COMPAREC_PAD)*IF(I728&gt;0,J728/I728,VALIDOS_PAD))</f>
        <v/>
      </c>
      <c r="S728" s="34">
        <f>IF($A728="",NA(),IF(R728&gt;0,0.5-(K728-L728)/(2*R728),0))</f>
        <v/>
      </c>
      <c r="T728" s="34">
        <f>IF($A728="",NA(),IF(R728&lt;=0,IF(K728&gt;L728,1,IF(K728&lt;L728,0,0.5)),1-NORMDIST(S728,P728+AJUSTE,SIGMA,TRUE)))</f>
        <v/>
      </c>
      <c r="U728" s="34">
        <f>IF($A728="",NA(),1-T728)</f>
        <v/>
      </c>
    </row>
    <row r="729">
      <c r="C729" s="33" t="n"/>
      <c r="D729" s="33" t="n"/>
      <c r="E729" s="33" t="n"/>
      <c r="F729" s="33" t="n"/>
      <c r="G729" s="33" t="n"/>
      <c r="H729" s="33" t="n"/>
      <c r="I729" s="33" t="n"/>
      <c r="J729" s="33" t="n"/>
      <c r="K729" s="33" t="n"/>
      <c r="L729" s="33" t="n"/>
      <c r="N729" s="34">
        <f>IF($A729="",NA(),IF(C729&gt;0,D729/C729,0))</f>
        <v/>
      </c>
      <c r="O729" s="34">
        <f>IF($A729="",NA(),IF(E729&gt;0,F729/E729,0))</f>
        <v/>
      </c>
      <c r="P729" s="34">
        <f>IF($A729="",NA(),IF(K729+L729&gt;0,K729/(K729+L729),0.5))</f>
        <v/>
      </c>
      <c r="Q729" s="34">
        <f>IF($A729="",NA(),1-P729)</f>
        <v/>
      </c>
      <c r="R729" s="33">
        <f>IF($A729="",NA(),MAX(0,E729-F729)*IF(G729&gt;0,H729/G729,COMPAREC_PAD)*IF(I729&gt;0,J729/I729,VALIDOS_PAD))</f>
        <v/>
      </c>
      <c r="S729" s="34">
        <f>IF($A729="",NA(),IF(R729&gt;0,0.5-(K729-L729)/(2*R729),0))</f>
        <v/>
      </c>
      <c r="T729" s="34">
        <f>IF($A729="",NA(),IF(R729&lt;=0,IF(K729&gt;L729,1,IF(K729&lt;L729,0,0.5)),1-NORMDIST(S729,P729+AJUSTE,SIGMA,TRUE)))</f>
        <v/>
      </c>
      <c r="U729" s="34">
        <f>IF($A729="",NA(),1-T729)</f>
        <v/>
      </c>
    </row>
    <row r="730"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3" t="n"/>
      <c r="N730" s="34">
        <f>IF($A730="",NA(),IF(C730&gt;0,D730/C730,0))</f>
        <v/>
      </c>
      <c r="O730" s="34">
        <f>IF($A730="",NA(),IF(E730&gt;0,F730/E730,0))</f>
        <v/>
      </c>
      <c r="P730" s="34">
        <f>IF($A730="",NA(),IF(K730+L730&gt;0,K730/(K730+L730),0.5))</f>
        <v/>
      </c>
      <c r="Q730" s="34">
        <f>IF($A730="",NA(),1-P730)</f>
        <v/>
      </c>
      <c r="R730" s="33">
        <f>IF($A730="",NA(),MAX(0,E730-F730)*IF(G730&gt;0,H730/G730,COMPAREC_PAD)*IF(I730&gt;0,J730/I730,VALIDOS_PAD))</f>
        <v/>
      </c>
      <c r="S730" s="34">
        <f>IF($A730="",NA(),IF(R730&gt;0,0.5-(K730-L730)/(2*R730),0))</f>
        <v/>
      </c>
      <c r="T730" s="34">
        <f>IF($A730="",NA(),IF(R730&lt;=0,IF(K730&gt;L730,1,IF(K730&lt;L730,0,0.5)),1-NORMDIST(S730,P730+AJUSTE,SIGMA,TRUE)))</f>
        <v/>
      </c>
      <c r="U730" s="34">
        <f>IF($A730="",NA(),1-T730)</f>
        <v/>
      </c>
    </row>
    <row r="731">
      <c r="C731" s="33" t="n"/>
      <c r="D731" s="33" t="n"/>
      <c r="E731" s="33" t="n"/>
      <c r="F731" s="33" t="n"/>
      <c r="G731" s="33" t="n"/>
      <c r="H731" s="33" t="n"/>
      <c r="I731" s="33" t="n"/>
      <c r="J731" s="33" t="n"/>
      <c r="K731" s="33" t="n"/>
      <c r="L731" s="33" t="n"/>
      <c r="N731" s="34">
        <f>IF($A731="",NA(),IF(C731&gt;0,D731/C731,0))</f>
        <v/>
      </c>
      <c r="O731" s="34">
        <f>IF($A731="",NA(),IF(E731&gt;0,F731/E731,0))</f>
        <v/>
      </c>
      <c r="P731" s="34">
        <f>IF($A731="",NA(),IF(K731+L731&gt;0,K731/(K731+L731),0.5))</f>
        <v/>
      </c>
      <c r="Q731" s="34">
        <f>IF($A731="",NA(),1-P731)</f>
        <v/>
      </c>
      <c r="R731" s="33">
        <f>IF($A731="",NA(),MAX(0,E731-F731)*IF(G731&gt;0,H731/G731,COMPAREC_PAD)*IF(I731&gt;0,J731/I731,VALIDOS_PAD))</f>
        <v/>
      </c>
      <c r="S731" s="34">
        <f>IF($A731="",NA(),IF(R731&gt;0,0.5-(K731-L731)/(2*R731),0))</f>
        <v/>
      </c>
      <c r="T731" s="34">
        <f>IF($A731="",NA(),IF(R731&lt;=0,IF(K731&gt;L731,1,IF(K731&lt;L731,0,0.5)),1-NORMDIST(S731,P731+AJUSTE,SIGMA,TRUE)))</f>
        <v/>
      </c>
      <c r="U731" s="34">
        <f>IF($A731="",NA(),1-T731)</f>
        <v/>
      </c>
    </row>
    <row r="732"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3" t="n"/>
      <c r="N732" s="34">
        <f>IF($A732="",NA(),IF(C732&gt;0,D732/C732,0))</f>
        <v/>
      </c>
      <c r="O732" s="34">
        <f>IF($A732="",NA(),IF(E732&gt;0,F732/E732,0))</f>
        <v/>
      </c>
      <c r="P732" s="34">
        <f>IF($A732="",NA(),IF(K732+L732&gt;0,K732/(K732+L732),0.5))</f>
        <v/>
      </c>
      <c r="Q732" s="34">
        <f>IF($A732="",NA(),1-P732)</f>
        <v/>
      </c>
      <c r="R732" s="33">
        <f>IF($A732="",NA(),MAX(0,E732-F732)*IF(G732&gt;0,H732/G732,COMPAREC_PAD)*IF(I732&gt;0,J732/I732,VALIDOS_PAD))</f>
        <v/>
      </c>
      <c r="S732" s="34">
        <f>IF($A732="",NA(),IF(R732&gt;0,0.5-(K732-L732)/(2*R732),0))</f>
        <v/>
      </c>
      <c r="T732" s="34">
        <f>IF($A732="",NA(),IF(R732&lt;=0,IF(K732&gt;L732,1,IF(K732&lt;L732,0,0.5)),1-NORMDIST(S732,P732+AJUSTE,SIGMA,TRUE)))</f>
        <v/>
      </c>
      <c r="U732" s="34">
        <f>IF($A732="",NA(),1-T732)</f>
        <v/>
      </c>
    </row>
    <row r="733">
      <c r="C733" s="33" t="n"/>
      <c r="D733" s="33" t="n"/>
      <c r="E733" s="33" t="n"/>
      <c r="F733" s="33" t="n"/>
      <c r="G733" s="33" t="n"/>
      <c r="H733" s="33" t="n"/>
      <c r="I733" s="33" t="n"/>
      <c r="J733" s="33" t="n"/>
      <c r="K733" s="33" t="n"/>
      <c r="L733" s="33" t="n"/>
      <c r="N733" s="34">
        <f>IF($A733="",NA(),IF(C733&gt;0,D733/C733,0))</f>
        <v/>
      </c>
      <c r="O733" s="34">
        <f>IF($A733="",NA(),IF(E733&gt;0,F733/E733,0))</f>
        <v/>
      </c>
      <c r="P733" s="34">
        <f>IF($A733="",NA(),IF(K733+L733&gt;0,K733/(K733+L733),0.5))</f>
        <v/>
      </c>
      <c r="Q733" s="34">
        <f>IF($A733="",NA(),1-P733)</f>
        <v/>
      </c>
      <c r="R733" s="33">
        <f>IF($A733="",NA(),MAX(0,E733-F733)*IF(G733&gt;0,H733/G733,COMPAREC_PAD)*IF(I733&gt;0,J733/I733,VALIDOS_PAD))</f>
        <v/>
      </c>
      <c r="S733" s="34">
        <f>IF($A733="",NA(),IF(R733&gt;0,0.5-(K733-L733)/(2*R733),0))</f>
        <v/>
      </c>
      <c r="T733" s="34">
        <f>IF($A733="",NA(),IF(R733&lt;=0,IF(K733&gt;L733,1,IF(K733&lt;L733,0,0.5)),1-NORMDIST(S733,P733+AJUSTE,SIGMA,TRUE)))</f>
        <v/>
      </c>
      <c r="U733" s="34">
        <f>IF($A733="",NA(),1-T733)</f>
        <v/>
      </c>
    </row>
    <row r="734"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3" t="n"/>
      <c r="N734" s="34">
        <f>IF($A734="",NA(),IF(C734&gt;0,D734/C734,0))</f>
        <v/>
      </c>
      <c r="O734" s="34">
        <f>IF($A734="",NA(),IF(E734&gt;0,F734/E734,0))</f>
        <v/>
      </c>
      <c r="P734" s="34">
        <f>IF($A734="",NA(),IF(K734+L734&gt;0,K734/(K734+L734),0.5))</f>
        <v/>
      </c>
      <c r="Q734" s="34">
        <f>IF($A734="",NA(),1-P734)</f>
        <v/>
      </c>
      <c r="R734" s="33">
        <f>IF($A734="",NA(),MAX(0,E734-F734)*IF(G734&gt;0,H734/G734,COMPAREC_PAD)*IF(I734&gt;0,J734/I734,VALIDOS_PAD))</f>
        <v/>
      </c>
      <c r="S734" s="34">
        <f>IF($A734="",NA(),IF(R734&gt;0,0.5-(K734-L734)/(2*R734),0))</f>
        <v/>
      </c>
      <c r="T734" s="34">
        <f>IF($A734="",NA(),IF(R734&lt;=0,IF(K734&gt;L734,1,IF(K734&lt;L734,0,0.5)),1-NORMDIST(S734,P734+AJUSTE,SIGMA,TRUE)))</f>
        <v/>
      </c>
      <c r="U734" s="34">
        <f>IF($A734="",NA(),1-T734)</f>
        <v/>
      </c>
    </row>
    <row r="735">
      <c r="C735" s="33" t="n"/>
      <c r="D735" s="33" t="n"/>
      <c r="E735" s="33" t="n"/>
      <c r="F735" s="33" t="n"/>
      <c r="G735" s="33" t="n"/>
      <c r="H735" s="33" t="n"/>
      <c r="I735" s="33" t="n"/>
      <c r="J735" s="33" t="n"/>
      <c r="K735" s="33" t="n"/>
      <c r="L735" s="33" t="n"/>
      <c r="N735" s="34">
        <f>IF($A735="",NA(),IF(C735&gt;0,D735/C735,0))</f>
        <v/>
      </c>
      <c r="O735" s="34">
        <f>IF($A735="",NA(),IF(E735&gt;0,F735/E735,0))</f>
        <v/>
      </c>
      <c r="P735" s="34">
        <f>IF($A735="",NA(),IF(K735+L735&gt;0,K735/(K735+L735),0.5))</f>
        <v/>
      </c>
      <c r="Q735" s="34">
        <f>IF($A735="",NA(),1-P735)</f>
        <v/>
      </c>
      <c r="R735" s="33">
        <f>IF($A735="",NA(),MAX(0,E735-F735)*IF(G735&gt;0,H735/G735,COMPAREC_PAD)*IF(I735&gt;0,J735/I735,VALIDOS_PAD))</f>
        <v/>
      </c>
      <c r="S735" s="34">
        <f>IF($A735="",NA(),IF(R735&gt;0,0.5-(K735-L735)/(2*R735),0))</f>
        <v/>
      </c>
      <c r="T735" s="34">
        <f>IF($A735="",NA(),IF(R735&lt;=0,IF(K735&gt;L735,1,IF(K735&lt;L735,0,0.5)),1-NORMDIST(S735,P735+AJUSTE,SIGMA,TRUE)))</f>
        <v/>
      </c>
      <c r="U735" s="34">
        <f>IF($A735="",NA(),1-T735)</f>
        <v/>
      </c>
    </row>
    <row r="736"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3" t="n"/>
      <c r="N736" s="34">
        <f>IF($A736="",NA(),IF(C736&gt;0,D736/C736,0))</f>
        <v/>
      </c>
      <c r="O736" s="34">
        <f>IF($A736="",NA(),IF(E736&gt;0,F736/E736,0))</f>
        <v/>
      </c>
      <c r="P736" s="34">
        <f>IF($A736="",NA(),IF(K736+L736&gt;0,K736/(K736+L736),0.5))</f>
        <v/>
      </c>
      <c r="Q736" s="34">
        <f>IF($A736="",NA(),1-P736)</f>
        <v/>
      </c>
      <c r="R736" s="33">
        <f>IF($A736="",NA(),MAX(0,E736-F736)*IF(G736&gt;0,H736/G736,COMPAREC_PAD)*IF(I736&gt;0,J736/I736,VALIDOS_PAD))</f>
        <v/>
      </c>
      <c r="S736" s="34">
        <f>IF($A736="",NA(),IF(R736&gt;0,0.5-(K736-L736)/(2*R736),0))</f>
        <v/>
      </c>
      <c r="T736" s="34">
        <f>IF($A736="",NA(),IF(R736&lt;=0,IF(K736&gt;L736,1,IF(K736&lt;L736,0,0.5)),1-NORMDIST(S736,P736+AJUSTE,SIGMA,TRUE)))</f>
        <v/>
      </c>
      <c r="U736" s="34">
        <f>IF($A736="",NA(),1-T736)</f>
        <v/>
      </c>
    </row>
    <row r="737">
      <c r="C737" s="33" t="n"/>
      <c r="D737" s="33" t="n"/>
      <c r="E737" s="33" t="n"/>
      <c r="F737" s="33" t="n"/>
      <c r="G737" s="33" t="n"/>
      <c r="H737" s="33" t="n"/>
      <c r="I737" s="33" t="n"/>
      <c r="J737" s="33" t="n"/>
      <c r="K737" s="33" t="n"/>
      <c r="L737" s="33" t="n"/>
      <c r="N737" s="34">
        <f>IF($A737="",NA(),IF(C737&gt;0,D737/C737,0))</f>
        <v/>
      </c>
      <c r="O737" s="34">
        <f>IF($A737="",NA(),IF(E737&gt;0,F737/E737,0))</f>
        <v/>
      </c>
      <c r="P737" s="34">
        <f>IF($A737="",NA(),IF(K737+L737&gt;0,K737/(K737+L737),0.5))</f>
        <v/>
      </c>
      <c r="Q737" s="34">
        <f>IF($A737="",NA(),1-P737)</f>
        <v/>
      </c>
      <c r="R737" s="33">
        <f>IF($A737="",NA(),MAX(0,E737-F737)*IF(G737&gt;0,H737/G737,COMPAREC_PAD)*IF(I737&gt;0,J737/I737,VALIDOS_PAD))</f>
        <v/>
      </c>
      <c r="S737" s="34">
        <f>IF($A737="",NA(),IF(R737&gt;0,0.5-(K737-L737)/(2*R737),0))</f>
        <v/>
      </c>
      <c r="T737" s="34">
        <f>IF($A737="",NA(),IF(R737&lt;=0,IF(K737&gt;L737,1,IF(K737&lt;L737,0,0.5)),1-NORMDIST(S737,P737+AJUSTE,SIGMA,TRUE)))</f>
        <v/>
      </c>
      <c r="U737" s="34">
        <f>IF($A737="",NA(),1-T737)</f>
        <v/>
      </c>
    </row>
    <row r="738"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3" t="n"/>
      <c r="N738" s="34">
        <f>IF($A738="",NA(),IF(C738&gt;0,D738/C738,0))</f>
        <v/>
      </c>
      <c r="O738" s="34">
        <f>IF($A738="",NA(),IF(E738&gt;0,F738/E738,0))</f>
        <v/>
      </c>
      <c r="P738" s="34">
        <f>IF($A738="",NA(),IF(K738+L738&gt;0,K738/(K738+L738),0.5))</f>
        <v/>
      </c>
      <c r="Q738" s="34">
        <f>IF($A738="",NA(),1-P738)</f>
        <v/>
      </c>
      <c r="R738" s="33">
        <f>IF($A738="",NA(),MAX(0,E738-F738)*IF(G738&gt;0,H738/G738,COMPAREC_PAD)*IF(I738&gt;0,J738/I738,VALIDOS_PAD))</f>
        <v/>
      </c>
      <c r="S738" s="34">
        <f>IF($A738="",NA(),IF(R738&gt;0,0.5-(K738-L738)/(2*R738),0))</f>
        <v/>
      </c>
      <c r="T738" s="34">
        <f>IF($A738="",NA(),IF(R738&lt;=0,IF(K738&gt;L738,1,IF(K738&lt;L738,0,0.5)),1-NORMDIST(S738,P738+AJUSTE,SIGMA,TRUE)))</f>
        <v/>
      </c>
      <c r="U738" s="34">
        <f>IF($A738="",NA(),1-T738)</f>
        <v/>
      </c>
    </row>
    <row r="739">
      <c r="C739" s="33" t="n"/>
      <c r="D739" s="33" t="n"/>
      <c r="E739" s="33" t="n"/>
      <c r="F739" s="33" t="n"/>
      <c r="G739" s="33" t="n"/>
      <c r="H739" s="33" t="n"/>
      <c r="I739" s="33" t="n"/>
      <c r="J739" s="33" t="n"/>
      <c r="K739" s="33" t="n"/>
      <c r="L739" s="33" t="n"/>
      <c r="N739" s="34">
        <f>IF($A739="",NA(),IF(C739&gt;0,D739/C739,0))</f>
        <v/>
      </c>
      <c r="O739" s="34">
        <f>IF($A739="",NA(),IF(E739&gt;0,F739/E739,0))</f>
        <v/>
      </c>
      <c r="P739" s="34">
        <f>IF($A739="",NA(),IF(K739+L739&gt;0,K739/(K739+L739),0.5))</f>
        <v/>
      </c>
      <c r="Q739" s="34">
        <f>IF($A739="",NA(),1-P739)</f>
        <v/>
      </c>
      <c r="R739" s="33">
        <f>IF($A739="",NA(),MAX(0,E739-F739)*IF(G739&gt;0,H739/G739,COMPAREC_PAD)*IF(I739&gt;0,J739/I739,VALIDOS_PAD))</f>
        <v/>
      </c>
      <c r="S739" s="34">
        <f>IF($A739="",NA(),IF(R739&gt;0,0.5-(K739-L739)/(2*R739),0))</f>
        <v/>
      </c>
      <c r="T739" s="34">
        <f>IF($A739="",NA(),IF(R739&lt;=0,IF(K739&gt;L739,1,IF(K739&lt;L739,0,0.5)),1-NORMDIST(S739,P739+AJUSTE,SIGMA,TRUE)))</f>
        <v/>
      </c>
      <c r="U739" s="34">
        <f>IF($A739="",NA(),1-T739)</f>
        <v/>
      </c>
    </row>
    <row r="740"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3" t="n"/>
      <c r="N740" s="34">
        <f>IF($A740="",NA(),IF(C740&gt;0,D740/C740,0))</f>
        <v/>
      </c>
      <c r="O740" s="34">
        <f>IF($A740="",NA(),IF(E740&gt;0,F740/E740,0))</f>
        <v/>
      </c>
      <c r="P740" s="34">
        <f>IF($A740="",NA(),IF(K740+L740&gt;0,K740/(K740+L740),0.5))</f>
        <v/>
      </c>
      <c r="Q740" s="34">
        <f>IF($A740="",NA(),1-P740)</f>
        <v/>
      </c>
      <c r="R740" s="33">
        <f>IF($A740="",NA(),MAX(0,E740-F740)*IF(G740&gt;0,H740/G740,COMPAREC_PAD)*IF(I740&gt;0,J740/I740,VALIDOS_PAD))</f>
        <v/>
      </c>
      <c r="S740" s="34">
        <f>IF($A740="",NA(),IF(R740&gt;0,0.5-(K740-L740)/(2*R740),0))</f>
        <v/>
      </c>
      <c r="T740" s="34">
        <f>IF($A740="",NA(),IF(R740&lt;=0,IF(K740&gt;L740,1,IF(K740&lt;L740,0,0.5)),1-NORMDIST(S740,P740+AJUSTE,SIGMA,TRUE)))</f>
        <v/>
      </c>
      <c r="U740" s="34">
        <f>IF($A740="",NA(),1-T740)</f>
        <v/>
      </c>
    </row>
    <row r="741">
      <c r="C741" s="33" t="n"/>
      <c r="D741" s="33" t="n"/>
      <c r="E741" s="33" t="n"/>
      <c r="F741" s="33" t="n"/>
      <c r="G741" s="33" t="n"/>
      <c r="H741" s="33" t="n"/>
      <c r="I741" s="33" t="n"/>
      <c r="J741" s="33" t="n"/>
      <c r="K741" s="33" t="n"/>
      <c r="L741" s="33" t="n"/>
      <c r="N741" s="34">
        <f>IF($A741="",NA(),IF(C741&gt;0,D741/C741,0))</f>
        <v/>
      </c>
      <c r="O741" s="34">
        <f>IF($A741="",NA(),IF(E741&gt;0,F741/E741,0))</f>
        <v/>
      </c>
      <c r="P741" s="34">
        <f>IF($A741="",NA(),IF(K741+L741&gt;0,K741/(K741+L741),0.5))</f>
        <v/>
      </c>
      <c r="Q741" s="34">
        <f>IF($A741="",NA(),1-P741)</f>
        <v/>
      </c>
      <c r="R741" s="33">
        <f>IF($A741="",NA(),MAX(0,E741-F741)*IF(G741&gt;0,H741/G741,COMPAREC_PAD)*IF(I741&gt;0,J741/I741,VALIDOS_PAD))</f>
        <v/>
      </c>
      <c r="S741" s="34">
        <f>IF($A741="",NA(),IF(R741&gt;0,0.5-(K741-L741)/(2*R741),0))</f>
        <v/>
      </c>
      <c r="T741" s="34">
        <f>IF($A741="",NA(),IF(R741&lt;=0,IF(K741&gt;L741,1,IF(K741&lt;L741,0,0.5)),1-NORMDIST(S741,P741+AJUSTE,SIGMA,TRUE)))</f>
        <v/>
      </c>
      <c r="U741" s="34">
        <f>IF($A741="",NA(),1-T741)</f>
        <v/>
      </c>
    </row>
    <row r="742"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3" t="n"/>
      <c r="N742" s="34">
        <f>IF($A742="",NA(),IF(C742&gt;0,D742/C742,0))</f>
        <v/>
      </c>
      <c r="O742" s="34">
        <f>IF($A742="",NA(),IF(E742&gt;0,F742/E742,0))</f>
        <v/>
      </c>
      <c r="P742" s="34">
        <f>IF($A742="",NA(),IF(K742+L742&gt;0,K742/(K742+L742),0.5))</f>
        <v/>
      </c>
      <c r="Q742" s="34">
        <f>IF($A742="",NA(),1-P742)</f>
        <v/>
      </c>
      <c r="R742" s="33">
        <f>IF($A742="",NA(),MAX(0,E742-F742)*IF(G742&gt;0,H742/G742,COMPAREC_PAD)*IF(I742&gt;0,J742/I742,VALIDOS_PAD))</f>
        <v/>
      </c>
      <c r="S742" s="34">
        <f>IF($A742="",NA(),IF(R742&gt;0,0.5-(K742-L742)/(2*R742),0))</f>
        <v/>
      </c>
      <c r="T742" s="34">
        <f>IF($A742="",NA(),IF(R742&lt;=0,IF(K742&gt;L742,1,IF(K742&lt;L742,0,0.5)),1-NORMDIST(S742,P742+AJUSTE,SIGMA,TRUE)))</f>
        <v/>
      </c>
      <c r="U742" s="34">
        <f>IF($A742="",NA(),1-T742)</f>
        <v/>
      </c>
    </row>
    <row r="743">
      <c r="C743" s="33" t="n"/>
      <c r="D743" s="33" t="n"/>
      <c r="E743" s="33" t="n"/>
      <c r="F743" s="33" t="n"/>
      <c r="G743" s="33" t="n"/>
      <c r="H743" s="33" t="n"/>
      <c r="I743" s="33" t="n"/>
      <c r="J743" s="33" t="n"/>
      <c r="K743" s="33" t="n"/>
      <c r="L743" s="33" t="n"/>
      <c r="N743" s="34">
        <f>IF($A743="",NA(),IF(C743&gt;0,D743/C743,0))</f>
        <v/>
      </c>
      <c r="O743" s="34">
        <f>IF($A743="",NA(),IF(E743&gt;0,F743/E743,0))</f>
        <v/>
      </c>
      <c r="P743" s="34">
        <f>IF($A743="",NA(),IF(K743+L743&gt;0,K743/(K743+L743),0.5))</f>
        <v/>
      </c>
      <c r="Q743" s="34">
        <f>IF($A743="",NA(),1-P743)</f>
        <v/>
      </c>
      <c r="R743" s="33">
        <f>IF($A743="",NA(),MAX(0,E743-F743)*IF(G743&gt;0,H743/G743,COMPAREC_PAD)*IF(I743&gt;0,J743/I743,VALIDOS_PAD))</f>
        <v/>
      </c>
      <c r="S743" s="34">
        <f>IF($A743="",NA(),IF(R743&gt;0,0.5-(K743-L743)/(2*R743),0))</f>
        <v/>
      </c>
      <c r="T743" s="34">
        <f>IF($A743="",NA(),IF(R743&lt;=0,IF(K743&gt;L743,1,IF(K743&lt;L743,0,0.5)),1-NORMDIST(S743,P743+AJUSTE,SIGMA,TRUE)))</f>
        <v/>
      </c>
      <c r="U743" s="34">
        <f>IF($A743="",NA(),1-T743)</f>
        <v/>
      </c>
    </row>
    <row r="744"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3" t="n"/>
      <c r="N744" s="34">
        <f>IF($A744="",NA(),IF(C744&gt;0,D744/C744,0))</f>
        <v/>
      </c>
      <c r="O744" s="34">
        <f>IF($A744="",NA(),IF(E744&gt;0,F744/E744,0))</f>
        <v/>
      </c>
      <c r="P744" s="34">
        <f>IF($A744="",NA(),IF(K744+L744&gt;0,K744/(K744+L744),0.5))</f>
        <v/>
      </c>
      <c r="Q744" s="34">
        <f>IF($A744="",NA(),1-P744)</f>
        <v/>
      </c>
      <c r="R744" s="33">
        <f>IF($A744="",NA(),MAX(0,E744-F744)*IF(G744&gt;0,H744/G744,COMPAREC_PAD)*IF(I744&gt;0,J744/I744,VALIDOS_PAD))</f>
        <v/>
      </c>
      <c r="S744" s="34">
        <f>IF($A744="",NA(),IF(R744&gt;0,0.5-(K744-L744)/(2*R744),0))</f>
        <v/>
      </c>
      <c r="T744" s="34">
        <f>IF($A744="",NA(),IF(R744&lt;=0,IF(K744&gt;L744,1,IF(K744&lt;L744,0,0.5)),1-NORMDIST(S744,P744+AJUSTE,SIGMA,TRUE)))</f>
        <v/>
      </c>
      <c r="U744" s="34">
        <f>IF($A744="",NA(),1-T744)</f>
        <v/>
      </c>
    </row>
    <row r="745">
      <c r="C745" s="33" t="n"/>
      <c r="D745" s="33" t="n"/>
      <c r="E745" s="33" t="n"/>
      <c r="F745" s="33" t="n"/>
      <c r="G745" s="33" t="n"/>
      <c r="H745" s="33" t="n"/>
      <c r="I745" s="33" t="n"/>
      <c r="J745" s="33" t="n"/>
      <c r="K745" s="33" t="n"/>
      <c r="L745" s="33" t="n"/>
      <c r="N745" s="34">
        <f>IF($A745="",NA(),IF(C745&gt;0,D745/C745,0))</f>
        <v/>
      </c>
      <c r="O745" s="34">
        <f>IF($A745="",NA(),IF(E745&gt;0,F745/E745,0))</f>
        <v/>
      </c>
      <c r="P745" s="34">
        <f>IF($A745="",NA(),IF(K745+L745&gt;0,K745/(K745+L745),0.5))</f>
        <v/>
      </c>
      <c r="Q745" s="34">
        <f>IF($A745="",NA(),1-P745)</f>
        <v/>
      </c>
      <c r="R745" s="33">
        <f>IF($A745="",NA(),MAX(0,E745-F745)*IF(G745&gt;0,H745/G745,COMPAREC_PAD)*IF(I745&gt;0,J745/I745,VALIDOS_PAD))</f>
        <v/>
      </c>
      <c r="S745" s="34">
        <f>IF($A745="",NA(),IF(R745&gt;0,0.5-(K745-L745)/(2*R745),0))</f>
        <v/>
      </c>
      <c r="T745" s="34">
        <f>IF($A745="",NA(),IF(R745&lt;=0,IF(K745&gt;L745,1,IF(K745&lt;L745,0,0.5)),1-NORMDIST(S745,P745+AJUSTE,SIGMA,TRUE)))</f>
        <v/>
      </c>
      <c r="U745" s="34">
        <f>IF($A745="",NA(),1-T745)</f>
        <v/>
      </c>
    </row>
    <row r="746"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3" t="n"/>
      <c r="N746" s="34">
        <f>IF($A746="",NA(),IF(C746&gt;0,D746/C746,0))</f>
        <v/>
      </c>
      <c r="O746" s="34">
        <f>IF($A746="",NA(),IF(E746&gt;0,F746/E746,0))</f>
        <v/>
      </c>
      <c r="P746" s="34">
        <f>IF($A746="",NA(),IF(K746+L746&gt;0,K746/(K746+L746),0.5))</f>
        <v/>
      </c>
      <c r="Q746" s="34">
        <f>IF($A746="",NA(),1-P746)</f>
        <v/>
      </c>
      <c r="R746" s="33">
        <f>IF($A746="",NA(),MAX(0,E746-F746)*IF(G746&gt;0,H746/G746,COMPAREC_PAD)*IF(I746&gt;0,J746/I746,VALIDOS_PAD))</f>
        <v/>
      </c>
      <c r="S746" s="34">
        <f>IF($A746="",NA(),IF(R746&gt;0,0.5-(K746-L746)/(2*R746),0))</f>
        <v/>
      </c>
      <c r="T746" s="34">
        <f>IF($A746="",NA(),IF(R746&lt;=0,IF(K746&gt;L746,1,IF(K746&lt;L746,0,0.5)),1-NORMDIST(S746,P746+AJUSTE,SIGMA,TRUE)))</f>
        <v/>
      </c>
      <c r="U746" s="34">
        <f>IF($A746="",NA(),1-T746)</f>
        <v/>
      </c>
    </row>
    <row r="747">
      <c r="C747" s="33" t="n"/>
      <c r="D747" s="33" t="n"/>
      <c r="E747" s="33" t="n"/>
      <c r="F747" s="33" t="n"/>
      <c r="G747" s="33" t="n"/>
      <c r="H747" s="33" t="n"/>
      <c r="I747" s="33" t="n"/>
      <c r="J747" s="33" t="n"/>
      <c r="K747" s="33" t="n"/>
      <c r="L747" s="33" t="n"/>
      <c r="N747" s="34">
        <f>IF($A747="",NA(),IF(C747&gt;0,D747/C747,0))</f>
        <v/>
      </c>
      <c r="O747" s="34">
        <f>IF($A747="",NA(),IF(E747&gt;0,F747/E747,0))</f>
        <v/>
      </c>
      <c r="P747" s="34">
        <f>IF($A747="",NA(),IF(K747+L747&gt;0,K747/(K747+L747),0.5))</f>
        <v/>
      </c>
      <c r="Q747" s="34">
        <f>IF($A747="",NA(),1-P747)</f>
        <v/>
      </c>
      <c r="R747" s="33">
        <f>IF($A747="",NA(),MAX(0,E747-F747)*IF(G747&gt;0,H747/G747,COMPAREC_PAD)*IF(I747&gt;0,J747/I747,VALIDOS_PAD))</f>
        <v/>
      </c>
      <c r="S747" s="34">
        <f>IF($A747="",NA(),IF(R747&gt;0,0.5-(K747-L747)/(2*R747),0))</f>
        <v/>
      </c>
      <c r="T747" s="34">
        <f>IF($A747="",NA(),IF(R747&lt;=0,IF(K747&gt;L747,1,IF(K747&lt;L747,0,0.5)),1-NORMDIST(S747,P747+AJUSTE,SIGMA,TRUE)))</f>
        <v/>
      </c>
      <c r="U747" s="34">
        <f>IF($A747="",NA(),1-T747)</f>
        <v/>
      </c>
    </row>
    <row r="748"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3" t="n"/>
      <c r="N748" s="34">
        <f>IF($A748="",NA(),IF(C748&gt;0,D748/C748,0))</f>
        <v/>
      </c>
      <c r="O748" s="34">
        <f>IF($A748="",NA(),IF(E748&gt;0,F748/E748,0))</f>
        <v/>
      </c>
      <c r="P748" s="34">
        <f>IF($A748="",NA(),IF(K748+L748&gt;0,K748/(K748+L748),0.5))</f>
        <v/>
      </c>
      <c r="Q748" s="34">
        <f>IF($A748="",NA(),1-P748)</f>
        <v/>
      </c>
      <c r="R748" s="33">
        <f>IF($A748="",NA(),MAX(0,E748-F748)*IF(G748&gt;0,H748/G748,COMPAREC_PAD)*IF(I748&gt;0,J748/I748,VALIDOS_PAD))</f>
        <v/>
      </c>
      <c r="S748" s="34">
        <f>IF($A748="",NA(),IF(R748&gt;0,0.5-(K748-L748)/(2*R748),0))</f>
        <v/>
      </c>
      <c r="T748" s="34">
        <f>IF($A748="",NA(),IF(R748&lt;=0,IF(K748&gt;L748,1,IF(K748&lt;L748,0,0.5)),1-NORMDIST(S748,P748+AJUSTE,SIGMA,TRUE)))</f>
        <v/>
      </c>
      <c r="U748" s="34">
        <f>IF($A748="",NA(),1-T748)</f>
        <v/>
      </c>
    </row>
    <row r="749">
      <c r="C749" s="33" t="n"/>
      <c r="D749" s="33" t="n"/>
      <c r="E749" s="33" t="n"/>
      <c r="F749" s="33" t="n"/>
      <c r="G749" s="33" t="n"/>
      <c r="H749" s="33" t="n"/>
      <c r="I749" s="33" t="n"/>
      <c r="J749" s="33" t="n"/>
      <c r="K749" s="33" t="n"/>
      <c r="L749" s="33" t="n"/>
      <c r="N749" s="34">
        <f>IF($A749="",NA(),IF(C749&gt;0,D749/C749,0))</f>
        <v/>
      </c>
      <c r="O749" s="34">
        <f>IF($A749="",NA(),IF(E749&gt;0,F749/E749,0))</f>
        <v/>
      </c>
      <c r="P749" s="34">
        <f>IF($A749="",NA(),IF(K749+L749&gt;0,K749/(K749+L749),0.5))</f>
        <v/>
      </c>
      <c r="Q749" s="34">
        <f>IF($A749="",NA(),1-P749)</f>
        <v/>
      </c>
      <c r="R749" s="33">
        <f>IF($A749="",NA(),MAX(0,E749-F749)*IF(G749&gt;0,H749/G749,COMPAREC_PAD)*IF(I749&gt;0,J749/I749,VALIDOS_PAD))</f>
        <v/>
      </c>
      <c r="S749" s="34">
        <f>IF($A749="",NA(),IF(R749&gt;0,0.5-(K749-L749)/(2*R749),0))</f>
        <v/>
      </c>
      <c r="T749" s="34">
        <f>IF($A749="",NA(),IF(R749&lt;=0,IF(K749&gt;L749,1,IF(K749&lt;L749,0,0.5)),1-NORMDIST(S749,P749+AJUSTE,SIGMA,TRUE)))</f>
        <v/>
      </c>
      <c r="U749" s="34">
        <f>IF($A749="",NA(),1-T749)</f>
        <v/>
      </c>
    </row>
    <row r="750"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3" t="n"/>
      <c r="N750" s="34">
        <f>IF($A750="",NA(),IF(C750&gt;0,D750/C750,0))</f>
        <v/>
      </c>
      <c r="O750" s="34">
        <f>IF($A750="",NA(),IF(E750&gt;0,F750/E750,0))</f>
        <v/>
      </c>
      <c r="P750" s="34">
        <f>IF($A750="",NA(),IF(K750+L750&gt;0,K750/(K750+L750),0.5))</f>
        <v/>
      </c>
      <c r="Q750" s="34">
        <f>IF($A750="",NA(),1-P750)</f>
        <v/>
      </c>
      <c r="R750" s="33">
        <f>IF($A750="",NA(),MAX(0,E750-F750)*IF(G750&gt;0,H750/G750,COMPAREC_PAD)*IF(I750&gt;0,J750/I750,VALIDOS_PAD))</f>
        <v/>
      </c>
      <c r="S750" s="34">
        <f>IF($A750="",NA(),IF(R750&gt;0,0.5-(K750-L750)/(2*R750),0))</f>
        <v/>
      </c>
      <c r="T750" s="34">
        <f>IF($A750="",NA(),IF(R750&lt;=0,IF(K750&gt;L750,1,IF(K750&lt;L750,0,0.5)),1-NORMDIST(S750,P750+AJUSTE,SIGMA,TRUE)))</f>
        <v/>
      </c>
      <c r="U750" s="34">
        <f>IF($A750="",NA(),1-T750)</f>
        <v/>
      </c>
    </row>
    <row r="751">
      <c r="C751" s="33" t="n"/>
      <c r="D751" s="33" t="n"/>
      <c r="E751" s="33" t="n"/>
      <c r="F751" s="33" t="n"/>
      <c r="G751" s="33" t="n"/>
      <c r="H751" s="33" t="n"/>
      <c r="I751" s="33" t="n"/>
      <c r="J751" s="33" t="n"/>
      <c r="K751" s="33" t="n"/>
      <c r="L751" s="33" t="n"/>
      <c r="N751" s="34">
        <f>IF($A751="",NA(),IF(C751&gt;0,D751/C751,0))</f>
        <v/>
      </c>
      <c r="O751" s="34">
        <f>IF($A751="",NA(),IF(E751&gt;0,F751/E751,0))</f>
        <v/>
      </c>
      <c r="P751" s="34">
        <f>IF($A751="",NA(),IF(K751+L751&gt;0,K751/(K751+L751),0.5))</f>
        <v/>
      </c>
      <c r="Q751" s="34">
        <f>IF($A751="",NA(),1-P751)</f>
        <v/>
      </c>
      <c r="R751" s="33">
        <f>IF($A751="",NA(),MAX(0,E751-F751)*IF(G751&gt;0,H751/G751,COMPAREC_PAD)*IF(I751&gt;0,J751/I751,VALIDOS_PAD))</f>
        <v/>
      </c>
      <c r="S751" s="34">
        <f>IF($A751="",NA(),IF(R751&gt;0,0.5-(K751-L751)/(2*R751),0))</f>
        <v/>
      </c>
      <c r="T751" s="34">
        <f>IF($A751="",NA(),IF(R751&lt;=0,IF(K751&gt;L751,1,IF(K751&lt;L751,0,0.5)),1-NORMDIST(S751,P751+AJUSTE,SIGMA,TRUE)))</f>
        <v/>
      </c>
      <c r="U751" s="34">
        <f>IF($A751="",NA(),1-T751)</f>
        <v/>
      </c>
    </row>
    <row r="752"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3" t="n"/>
      <c r="N752" s="34">
        <f>IF($A752="",NA(),IF(C752&gt;0,D752/C752,0))</f>
        <v/>
      </c>
      <c r="O752" s="34">
        <f>IF($A752="",NA(),IF(E752&gt;0,F752/E752,0))</f>
        <v/>
      </c>
      <c r="P752" s="34">
        <f>IF($A752="",NA(),IF(K752+L752&gt;0,K752/(K752+L752),0.5))</f>
        <v/>
      </c>
      <c r="Q752" s="34">
        <f>IF($A752="",NA(),1-P752)</f>
        <v/>
      </c>
      <c r="R752" s="33">
        <f>IF($A752="",NA(),MAX(0,E752-F752)*IF(G752&gt;0,H752/G752,COMPAREC_PAD)*IF(I752&gt;0,J752/I752,VALIDOS_PAD))</f>
        <v/>
      </c>
      <c r="S752" s="34">
        <f>IF($A752="",NA(),IF(R752&gt;0,0.5-(K752-L752)/(2*R752),0))</f>
        <v/>
      </c>
      <c r="T752" s="34">
        <f>IF($A752="",NA(),IF(R752&lt;=0,IF(K752&gt;L752,1,IF(K752&lt;L752,0,0.5)),1-NORMDIST(S752,P752+AJUSTE,SIGMA,TRUE)))</f>
        <v/>
      </c>
      <c r="U752" s="34">
        <f>IF($A752="",NA(),1-T752)</f>
        <v/>
      </c>
    </row>
    <row r="753">
      <c r="C753" s="33" t="n"/>
      <c r="D753" s="33" t="n"/>
      <c r="E753" s="33" t="n"/>
      <c r="F753" s="33" t="n"/>
      <c r="G753" s="33" t="n"/>
      <c r="H753" s="33" t="n"/>
      <c r="I753" s="33" t="n"/>
      <c r="J753" s="33" t="n"/>
      <c r="K753" s="33" t="n"/>
      <c r="L753" s="33" t="n"/>
      <c r="N753" s="34">
        <f>IF($A753="",NA(),IF(C753&gt;0,D753/C753,0))</f>
        <v/>
      </c>
      <c r="O753" s="34">
        <f>IF($A753="",NA(),IF(E753&gt;0,F753/E753,0))</f>
        <v/>
      </c>
      <c r="P753" s="34">
        <f>IF($A753="",NA(),IF(K753+L753&gt;0,K753/(K753+L753),0.5))</f>
        <v/>
      </c>
      <c r="Q753" s="34">
        <f>IF($A753="",NA(),1-P753)</f>
        <v/>
      </c>
      <c r="R753" s="33">
        <f>IF($A753="",NA(),MAX(0,E753-F753)*IF(G753&gt;0,H753/G753,COMPAREC_PAD)*IF(I753&gt;0,J753/I753,VALIDOS_PAD))</f>
        <v/>
      </c>
      <c r="S753" s="34">
        <f>IF($A753="",NA(),IF(R753&gt;0,0.5-(K753-L753)/(2*R753),0))</f>
        <v/>
      </c>
      <c r="T753" s="34">
        <f>IF($A753="",NA(),IF(R753&lt;=0,IF(K753&gt;L753,1,IF(K753&lt;L753,0,0.5)),1-NORMDIST(S753,P753+AJUSTE,SIGMA,TRUE)))</f>
        <v/>
      </c>
      <c r="U753" s="34">
        <f>IF($A753="",NA(),1-T753)</f>
        <v/>
      </c>
    </row>
    <row r="754"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3" t="n"/>
      <c r="N754" s="34">
        <f>IF($A754="",NA(),IF(C754&gt;0,D754/C754,0))</f>
        <v/>
      </c>
      <c r="O754" s="34">
        <f>IF($A754="",NA(),IF(E754&gt;0,F754/E754,0))</f>
        <v/>
      </c>
      <c r="P754" s="34">
        <f>IF($A754="",NA(),IF(K754+L754&gt;0,K754/(K754+L754),0.5))</f>
        <v/>
      </c>
      <c r="Q754" s="34">
        <f>IF($A754="",NA(),1-P754)</f>
        <v/>
      </c>
      <c r="R754" s="33">
        <f>IF($A754="",NA(),MAX(0,E754-F754)*IF(G754&gt;0,H754/G754,COMPAREC_PAD)*IF(I754&gt;0,J754/I754,VALIDOS_PAD))</f>
        <v/>
      </c>
      <c r="S754" s="34">
        <f>IF($A754="",NA(),IF(R754&gt;0,0.5-(K754-L754)/(2*R754),0))</f>
        <v/>
      </c>
      <c r="T754" s="34">
        <f>IF($A754="",NA(),IF(R754&lt;=0,IF(K754&gt;L754,1,IF(K754&lt;L754,0,0.5)),1-NORMDIST(S754,P754+AJUSTE,SIGMA,TRUE)))</f>
        <v/>
      </c>
      <c r="U754" s="34">
        <f>IF($A754="",NA(),1-T754)</f>
        <v/>
      </c>
    </row>
    <row r="755">
      <c r="C755" s="33" t="n"/>
      <c r="D755" s="33" t="n"/>
      <c r="E755" s="33" t="n"/>
      <c r="F755" s="33" t="n"/>
      <c r="G755" s="33" t="n"/>
      <c r="H755" s="33" t="n"/>
      <c r="I755" s="33" t="n"/>
      <c r="J755" s="33" t="n"/>
      <c r="K755" s="33" t="n"/>
      <c r="L755" s="33" t="n"/>
      <c r="N755" s="34">
        <f>IF($A755="",NA(),IF(C755&gt;0,D755/C755,0))</f>
        <v/>
      </c>
      <c r="O755" s="34">
        <f>IF($A755="",NA(),IF(E755&gt;0,F755/E755,0))</f>
        <v/>
      </c>
      <c r="P755" s="34">
        <f>IF($A755="",NA(),IF(K755+L755&gt;0,K755/(K755+L755),0.5))</f>
        <v/>
      </c>
      <c r="Q755" s="34">
        <f>IF($A755="",NA(),1-P755)</f>
        <v/>
      </c>
      <c r="R755" s="33">
        <f>IF($A755="",NA(),MAX(0,E755-F755)*IF(G755&gt;0,H755/G755,COMPAREC_PAD)*IF(I755&gt;0,J755/I755,VALIDOS_PAD))</f>
        <v/>
      </c>
      <c r="S755" s="34">
        <f>IF($A755="",NA(),IF(R755&gt;0,0.5-(K755-L755)/(2*R755),0))</f>
        <v/>
      </c>
      <c r="T755" s="34">
        <f>IF($A755="",NA(),IF(R755&lt;=0,IF(K755&gt;L755,1,IF(K755&lt;L755,0,0.5)),1-NORMDIST(S755,P755+AJUSTE,SIGMA,TRUE)))</f>
        <v/>
      </c>
      <c r="U755" s="34">
        <f>IF($A755="",NA(),1-T755)</f>
        <v/>
      </c>
    </row>
    <row r="756"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3" t="n"/>
      <c r="N756" s="34">
        <f>IF($A756="",NA(),IF(C756&gt;0,D756/C756,0))</f>
        <v/>
      </c>
      <c r="O756" s="34">
        <f>IF($A756="",NA(),IF(E756&gt;0,F756/E756,0))</f>
        <v/>
      </c>
      <c r="P756" s="34">
        <f>IF($A756="",NA(),IF(K756+L756&gt;0,K756/(K756+L756),0.5))</f>
        <v/>
      </c>
      <c r="Q756" s="34">
        <f>IF($A756="",NA(),1-P756)</f>
        <v/>
      </c>
      <c r="R756" s="33">
        <f>IF($A756="",NA(),MAX(0,E756-F756)*IF(G756&gt;0,H756/G756,COMPAREC_PAD)*IF(I756&gt;0,J756/I756,VALIDOS_PAD))</f>
        <v/>
      </c>
      <c r="S756" s="34">
        <f>IF($A756="",NA(),IF(R756&gt;0,0.5-(K756-L756)/(2*R756),0))</f>
        <v/>
      </c>
      <c r="T756" s="34">
        <f>IF($A756="",NA(),IF(R756&lt;=0,IF(K756&gt;L756,1,IF(K756&lt;L756,0,0.5)),1-NORMDIST(S756,P756+AJUSTE,SIGMA,TRUE)))</f>
        <v/>
      </c>
      <c r="U756" s="34">
        <f>IF($A756="",NA(),1-T756)</f>
        <v/>
      </c>
    </row>
    <row r="757">
      <c r="C757" s="33" t="n"/>
      <c r="D757" s="33" t="n"/>
      <c r="E757" s="33" t="n"/>
      <c r="F757" s="33" t="n"/>
      <c r="G757" s="33" t="n"/>
      <c r="H757" s="33" t="n"/>
      <c r="I757" s="33" t="n"/>
      <c r="J757" s="33" t="n"/>
      <c r="K757" s="33" t="n"/>
      <c r="L757" s="33" t="n"/>
      <c r="N757" s="34">
        <f>IF($A757="",NA(),IF(C757&gt;0,D757/C757,0))</f>
        <v/>
      </c>
      <c r="O757" s="34">
        <f>IF($A757="",NA(),IF(E757&gt;0,F757/E757,0))</f>
        <v/>
      </c>
      <c r="P757" s="34">
        <f>IF($A757="",NA(),IF(K757+L757&gt;0,K757/(K757+L757),0.5))</f>
        <v/>
      </c>
      <c r="Q757" s="34">
        <f>IF($A757="",NA(),1-P757)</f>
        <v/>
      </c>
      <c r="R757" s="33">
        <f>IF($A757="",NA(),MAX(0,E757-F757)*IF(G757&gt;0,H757/G757,COMPAREC_PAD)*IF(I757&gt;0,J757/I757,VALIDOS_PAD))</f>
        <v/>
      </c>
      <c r="S757" s="34">
        <f>IF($A757="",NA(),IF(R757&gt;0,0.5-(K757-L757)/(2*R757),0))</f>
        <v/>
      </c>
      <c r="T757" s="34">
        <f>IF($A757="",NA(),IF(R757&lt;=0,IF(K757&gt;L757,1,IF(K757&lt;L757,0,0.5)),1-NORMDIST(S757,P757+AJUSTE,SIGMA,TRUE)))</f>
        <v/>
      </c>
      <c r="U757" s="34">
        <f>IF($A757="",NA(),1-T757)</f>
        <v/>
      </c>
    </row>
    <row r="758"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3" t="n"/>
      <c r="N758" s="34">
        <f>IF($A758="",NA(),IF(C758&gt;0,D758/C758,0))</f>
        <v/>
      </c>
      <c r="O758" s="34">
        <f>IF($A758="",NA(),IF(E758&gt;0,F758/E758,0))</f>
        <v/>
      </c>
      <c r="P758" s="34">
        <f>IF($A758="",NA(),IF(K758+L758&gt;0,K758/(K758+L758),0.5))</f>
        <v/>
      </c>
      <c r="Q758" s="34">
        <f>IF($A758="",NA(),1-P758)</f>
        <v/>
      </c>
      <c r="R758" s="33">
        <f>IF($A758="",NA(),MAX(0,E758-F758)*IF(G758&gt;0,H758/G758,COMPAREC_PAD)*IF(I758&gt;0,J758/I758,VALIDOS_PAD))</f>
        <v/>
      </c>
      <c r="S758" s="34">
        <f>IF($A758="",NA(),IF(R758&gt;0,0.5-(K758-L758)/(2*R758),0))</f>
        <v/>
      </c>
      <c r="T758" s="34">
        <f>IF($A758="",NA(),IF(R758&lt;=0,IF(K758&gt;L758,1,IF(K758&lt;L758,0,0.5)),1-NORMDIST(S758,P758+AJUSTE,SIGMA,TRUE)))</f>
        <v/>
      </c>
      <c r="U758" s="34">
        <f>IF($A758="",NA(),1-T758)</f>
        <v/>
      </c>
    </row>
    <row r="759">
      <c r="C759" s="33" t="n"/>
      <c r="D759" s="33" t="n"/>
      <c r="E759" s="33" t="n"/>
      <c r="F759" s="33" t="n"/>
      <c r="G759" s="33" t="n"/>
      <c r="H759" s="33" t="n"/>
      <c r="I759" s="33" t="n"/>
      <c r="J759" s="33" t="n"/>
      <c r="K759" s="33" t="n"/>
      <c r="L759" s="33" t="n"/>
      <c r="N759" s="34">
        <f>IF($A759="",NA(),IF(C759&gt;0,D759/C759,0))</f>
        <v/>
      </c>
      <c r="O759" s="34">
        <f>IF($A759="",NA(),IF(E759&gt;0,F759/E759,0))</f>
        <v/>
      </c>
      <c r="P759" s="34">
        <f>IF($A759="",NA(),IF(K759+L759&gt;0,K759/(K759+L759),0.5))</f>
        <v/>
      </c>
      <c r="Q759" s="34">
        <f>IF($A759="",NA(),1-P759)</f>
        <v/>
      </c>
      <c r="R759" s="33">
        <f>IF($A759="",NA(),MAX(0,E759-F759)*IF(G759&gt;0,H759/G759,COMPAREC_PAD)*IF(I759&gt;0,J759/I759,VALIDOS_PAD))</f>
        <v/>
      </c>
      <c r="S759" s="34">
        <f>IF($A759="",NA(),IF(R759&gt;0,0.5-(K759-L759)/(2*R759),0))</f>
        <v/>
      </c>
      <c r="T759" s="34">
        <f>IF($A759="",NA(),IF(R759&lt;=0,IF(K759&gt;L759,1,IF(K759&lt;L759,0,0.5)),1-NORMDIST(S759,P759+AJUSTE,SIGMA,TRUE)))</f>
        <v/>
      </c>
      <c r="U759" s="34">
        <f>IF($A759="",NA(),1-T759)</f>
        <v/>
      </c>
    </row>
    <row r="760"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3" t="n"/>
      <c r="N760" s="34">
        <f>IF($A760="",NA(),IF(C760&gt;0,D760/C760,0))</f>
        <v/>
      </c>
      <c r="O760" s="34">
        <f>IF($A760="",NA(),IF(E760&gt;0,F760/E760,0))</f>
        <v/>
      </c>
      <c r="P760" s="34">
        <f>IF($A760="",NA(),IF(K760+L760&gt;0,K760/(K760+L760),0.5))</f>
        <v/>
      </c>
      <c r="Q760" s="34">
        <f>IF($A760="",NA(),1-P760)</f>
        <v/>
      </c>
      <c r="R760" s="33">
        <f>IF($A760="",NA(),MAX(0,E760-F760)*IF(G760&gt;0,H760/G760,COMPAREC_PAD)*IF(I760&gt;0,J760/I760,VALIDOS_PAD))</f>
        <v/>
      </c>
      <c r="S760" s="34">
        <f>IF($A760="",NA(),IF(R760&gt;0,0.5-(K760-L760)/(2*R760),0))</f>
        <v/>
      </c>
      <c r="T760" s="34">
        <f>IF($A760="",NA(),IF(R760&lt;=0,IF(K760&gt;L760,1,IF(K760&lt;L760,0,0.5)),1-NORMDIST(S760,P760+AJUSTE,SIGMA,TRUE)))</f>
        <v/>
      </c>
      <c r="U760" s="34">
        <f>IF($A760="",NA(),1-T760)</f>
        <v/>
      </c>
    </row>
    <row r="761">
      <c r="C761" s="33" t="n"/>
      <c r="D761" s="33" t="n"/>
      <c r="E761" s="33" t="n"/>
      <c r="F761" s="33" t="n"/>
      <c r="G761" s="33" t="n"/>
      <c r="H761" s="33" t="n"/>
      <c r="I761" s="33" t="n"/>
      <c r="J761" s="33" t="n"/>
      <c r="K761" s="33" t="n"/>
      <c r="L761" s="33" t="n"/>
      <c r="N761" s="34">
        <f>IF($A761="",NA(),IF(C761&gt;0,D761/C761,0))</f>
        <v/>
      </c>
      <c r="O761" s="34">
        <f>IF($A761="",NA(),IF(E761&gt;0,F761/E761,0))</f>
        <v/>
      </c>
      <c r="P761" s="34">
        <f>IF($A761="",NA(),IF(K761+L761&gt;0,K761/(K761+L761),0.5))</f>
        <v/>
      </c>
      <c r="Q761" s="34">
        <f>IF($A761="",NA(),1-P761)</f>
        <v/>
      </c>
      <c r="R761" s="33">
        <f>IF($A761="",NA(),MAX(0,E761-F761)*IF(G761&gt;0,H761/G761,COMPAREC_PAD)*IF(I761&gt;0,J761/I761,VALIDOS_PAD))</f>
        <v/>
      </c>
      <c r="S761" s="34">
        <f>IF($A761="",NA(),IF(R761&gt;0,0.5-(K761-L761)/(2*R761),0))</f>
        <v/>
      </c>
      <c r="T761" s="34">
        <f>IF($A761="",NA(),IF(R761&lt;=0,IF(K761&gt;L761,1,IF(K761&lt;L761,0,0.5)),1-NORMDIST(S761,P761+AJUSTE,SIGMA,TRUE)))</f>
        <v/>
      </c>
      <c r="U761" s="34">
        <f>IF($A761="",NA(),1-T761)</f>
        <v/>
      </c>
    </row>
    <row r="762"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3" t="n"/>
      <c r="N762" s="34">
        <f>IF($A762="",NA(),IF(C762&gt;0,D762/C762,0))</f>
        <v/>
      </c>
      <c r="O762" s="34">
        <f>IF($A762="",NA(),IF(E762&gt;0,F762/E762,0))</f>
        <v/>
      </c>
      <c r="P762" s="34">
        <f>IF($A762="",NA(),IF(K762+L762&gt;0,K762/(K762+L762),0.5))</f>
        <v/>
      </c>
      <c r="Q762" s="34">
        <f>IF($A762="",NA(),1-P762)</f>
        <v/>
      </c>
      <c r="R762" s="33">
        <f>IF($A762="",NA(),MAX(0,E762-F762)*IF(G762&gt;0,H762/G762,COMPAREC_PAD)*IF(I762&gt;0,J762/I762,VALIDOS_PAD))</f>
        <v/>
      </c>
      <c r="S762" s="34">
        <f>IF($A762="",NA(),IF(R762&gt;0,0.5-(K762-L762)/(2*R762),0))</f>
        <v/>
      </c>
      <c r="T762" s="34">
        <f>IF($A762="",NA(),IF(R762&lt;=0,IF(K762&gt;L762,1,IF(K762&lt;L762,0,0.5)),1-NORMDIST(S762,P762+AJUSTE,SIGMA,TRUE)))</f>
        <v/>
      </c>
      <c r="U762" s="34">
        <f>IF($A762="",NA(),1-T762)</f>
        <v/>
      </c>
    </row>
    <row r="763">
      <c r="C763" s="33" t="n"/>
      <c r="D763" s="33" t="n"/>
      <c r="E763" s="33" t="n"/>
      <c r="F763" s="33" t="n"/>
      <c r="G763" s="33" t="n"/>
      <c r="H763" s="33" t="n"/>
      <c r="I763" s="33" t="n"/>
      <c r="J763" s="33" t="n"/>
      <c r="K763" s="33" t="n"/>
      <c r="L763" s="33" t="n"/>
      <c r="N763" s="34">
        <f>IF($A763="",NA(),IF(C763&gt;0,D763/C763,0))</f>
        <v/>
      </c>
      <c r="O763" s="34">
        <f>IF($A763="",NA(),IF(E763&gt;0,F763/E763,0))</f>
        <v/>
      </c>
      <c r="P763" s="34">
        <f>IF($A763="",NA(),IF(K763+L763&gt;0,K763/(K763+L763),0.5))</f>
        <v/>
      </c>
      <c r="Q763" s="34">
        <f>IF($A763="",NA(),1-P763)</f>
        <v/>
      </c>
      <c r="R763" s="33">
        <f>IF($A763="",NA(),MAX(0,E763-F763)*IF(G763&gt;0,H763/G763,COMPAREC_PAD)*IF(I763&gt;0,J763/I763,VALIDOS_PAD))</f>
        <v/>
      </c>
      <c r="S763" s="34">
        <f>IF($A763="",NA(),IF(R763&gt;0,0.5-(K763-L763)/(2*R763),0))</f>
        <v/>
      </c>
      <c r="T763" s="34">
        <f>IF($A763="",NA(),IF(R763&lt;=0,IF(K763&gt;L763,1,IF(K763&lt;L763,0,0.5)),1-NORMDIST(S763,P763+AJUSTE,SIGMA,TRUE)))</f>
        <v/>
      </c>
      <c r="U763" s="34">
        <f>IF($A763="",NA(),1-T763)</f>
        <v/>
      </c>
    </row>
    <row r="764"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3" t="n"/>
      <c r="N764" s="34">
        <f>IF($A764="",NA(),IF(C764&gt;0,D764/C764,0))</f>
        <v/>
      </c>
      <c r="O764" s="34">
        <f>IF($A764="",NA(),IF(E764&gt;0,F764/E764,0))</f>
        <v/>
      </c>
      <c r="P764" s="34">
        <f>IF($A764="",NA(),IF(K764+L764&gt;0,K764/(K764+L764),0.5))</f>
        <v/>
      </c>
      <c r="Q764" s="34">
        <f>IF($A764="",NA(),1-P764)</f>
        <v/>
      </c>
      <c r="R764" s="33">
        <f>IF($A764="",NA(),MAX(0,E764-F764)*IF(G764&gt;0,H764/G764,COMPAREC_PAD)*IF(I764&gt;0,J764/I764,VALIDOS_PAD))</f>
        <v/>
      </c>
      <c r="S764" s="34">
        <f>IF($A764="",NA(),IF(R764&gt;0,0.5-(K764-L764)/(2*R764),0))</f>
        <v/>
      </c>
      <c r="T764" s="34">
        <f>IF($A764="",NA(),IF(R764&lt;=0,IF(K764&gt;L764,1,IF(K764&lt;L764,0,0.5)),1-NORMDIST(S764,P764+AJUSTE,SIGMA,TRUE)))</f>
        <v/>
      </c>
      <c r="U764" s="34">
        <f>IF($A764="",NA(),1-T764)</f>
        <v/>
      </c>
    </row>
    <row r="765">
      <c r="C765" s="33" t="n"/>
      <c r="D765" s="33" t="n"/>
      <c r="E765" s="33" t="n"/>
      <c r="F765" s="33" t="n"/>
      <c r="G765" s="33" t="n"/>
      <c r="H765" s="33" t="n"/>
      <c r="I765" s="33" t="n"/>
      <c r="J765" s="33" t="n"/>
      <c r="K765" s="33" t="n"/>
      <c r="L765" s="33" t="n"/>
      <c r="N765" s="34">
        <f>IF($A765="",NA(),IF(C765&gt;0,D765/C765,0))</f>
        <v/>
      </c>
      <c r="O765" s="34">
        <f>IF($A765="",NA(),IF(E765&gt;0,F765/E765,0))</f>
        <v/>
      </c>
      <c r="P765" s="34">
        <f>IF($A765="",NA(),IF(K765+L765&gt;0,K765/(K765+L765),0.5))</f>
        <v/>
      </c>
      <c r="Q765" s="34">
        <f>IF($A765="",NA(),1-P765)</f>
        <v/>
      </c>
      <c r="R765" s="33">
        <f>IF($A765="",NA(),MAX(0,E765-F765)*IF(G765&gt;0,H765/G765,COMPAREC_PAD)*IF(I765&gt;0,J765/I765,VALIDOS_PAD))</f>
        <v/>
      </c>
      <c r="S765" s="34">
        <f>IF($A765="",NA(),IF(R765&gt;0,0.5-(K765-L765)/(2*R765),0))</f>
        <v/>
      </c>
      <c r="T765" s="34">
        <f>IF($A765="",NA(),IF(R765&lt;=0,IF(K765&gt;L765,1,IF(K765&lt;L765,0,0.5)),1-NORMDIST(S765,P765+AJUSTE,SIGMA,TRUE)))</f>
        <v/>
      </c>
      <c r="U765" s="34">
        <f>IF($A765="",NA(),1-T765)</f>
        <v/>
      </c>
    </row>
    <row r="766"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3" t="n"/>
      <c r="N766" s="34">
        <f>IF($A766="",NA(),IF(C766&gt;0,D766/C766,0))</f>
        <v/>
      </c>
      <c r="O766" s="34">
        <f>IF($A766="",NA(),IF(E766&gt;0,F766/E766,0))</f>
        <v/>
      </c>
      <c r="P766" s="34">
        <f>IF($A766="",NA(),IF(K766+L766&gt;0,K766/(K766+L766),0.5))</f>
        <v/>
      </c>
      <c r="Q766" s="34">
        <f>IF($A766="",NA(),1-P766)</f>
        <v/>
      </c>
      <c r="R766" s="33">
        <f>IF($A766="",NA(),MAX(0,E766-F766)*IF(G766&gt;0,H766/G766,COMPAREC_PAD)*IF(I766&gt;0,J766/I766,VALIDOS_PAD))</f>
        <v/>
      </c>
      <c r="S766" s="34">
        <f>IF($A766="",NA(),IF(R766&gt;0,0.5-(K766-L766)/(2*R766),0))</f>
        <v/>
      </c>
      <c r="T766" s="34">
        <f>IF($A766="",NA(),IF(R766&lt;=0,IF(K766&gt;L766,1,IF(K766&lt;L766,0,0.5)),1-NORMDIST(S766,P766+AJUSTE,SIGMA,TRUE)))</f>
        <v/>
      </c>
      <c r="U766" s="34">
        <f>IF($A766="",NA(),1-T766)</f>
        <v/>
      </c>
    </row>
    <row r="767">
      <c r="C767" s="33" t="n"/>
      <c r="D767" s="33" t="n"/>
      <c r="E767" s="33" t="n"/>
      <c r="F767" s="33" t="n"/>
      <c r="G767" s="33" t="n"/>
      <c r="H767" s="33" t="n"/>
      <c r="I767" s="33" t="n"/>
      <c r="J767" s="33" t="n"/>
      <c r="K767" s="33" t="n"/>
      <c r="L767" s="33" t="n"/>
      <c r="N767" s="34">
        <f>IF($A767="",NA(),IF(C767&gt;0,D767/C767,0))</f>
        <v/>
      </c>
      <c r="O767" s="34">
        <f>IF($A767="",NA(),IF(E767&gt;0,F767/E767,0))</f>
        <v/>
      </c>
      <c r="P767" s="34">
        <f>IF($A767="",NA(),IF(K767+L767&gt;0,K767/(K767+L767),0.5))</f>
        <v/>
      </c>
      <c r="Q767" s="34">
        <f>IF($A767="",NA(),1-P767)</f>
        <v/>
      </c>
      <c r="R767" s="33">
        <f>IF($A767="",NA(),MAX(0,E767-F767)*IF(G767&gt;0,H767/G767,COMPAREC_PAD)*IF(I767&gt;0,J767/I767,VALIDOS_PAD))</f>
        <v/>
      </c>
      <c r="S767" s="34">
        <f>IF($A767="",NA(),IF(R767&gt;0,0.5-(K767-L767)/(2*R767),0))</f>
        <v/>
      </c>
      <c r="T767" s="34">
        <f>IF($A767="",NA(),IF(R767&lt;=0,IF(K767&gt;L767,1,IF(K767&lt;L767,0,0.5)),1-NORMDIST(S767,P767+AJUSTE,SIGMA,TRUE)))</f>
        <v/>
      </c>
      <c r="U767" s="34">
        <f>IF($A767="",NA(),1-T767)</f>
        <v/>
      </c>
    </row>
    <row r="768"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3" t="n"/>
      <c r="N768" s="34">
        <f>IF($A768="",NA(),IF(C768&gt;0,D768/C768,0))</f>
        <v/>
      </c>
      <c r="O768" s="34">
        <f>IF($A768="",NA(),IF(E768&gt;0,F768/E768,0))</f>
        <v/>
      </c>
      <c r="P768" s="34">
        <f>IF($A768="",NA(),IF(K768+L768&gt;0,K768/(K768+L768),0.5))</f>
        <v/>
      </c>
      <c r="Q768" s="34">
        <f>IF($A768="",NA(),1-P768)</f>
        <v/>
      </c>
      <c r="R768" s="33">
        <f>IF($A768="",NA(),MAX(0,E768-F768)*IF(G768&gt;0,H768/G768,COMPAREC_PAD)*IF(I768&gt;0,J768/I768,VALIDOS_PAD))</f>
        <v/>
      </c>
      <c r="S768" s="34">
        <f>IF($A768="",NA(),IF(R768&gt;0,0.5-(K768-L768)/(2*R768),0))</f>
        <v/>
      </c>
      <c r="T768" s="34">
        <f>IF($A768="",NA(),IF(R768&lt;=0,IF(K768&gt;L768,1,IF(K768&lt;L768,0,0.5)),1-NORMDIST(S768,P768+AJUSTE,SIGMA,TRUE)))</f>
        <v/>
      </c>
      <c r="U768" s="34">
        <f>IF($A768="",NA(),1-T768)</f>
        <v/>
      </c>
    </row>
    <row r="769">
      <c r="C769" s="33" t="n"/>
      <c r="D769" s="33" t="n"/>
      <c r="E769" s="33" t="n"/>
      <c r="F769" s="33" t="n"/>
      <c r="G769" s="33" t="n"/>
      <c r="H769" s="33" t="n"/>
      <c r="I769" s="33" t="n"/>
      <c r="J769" s="33" t="n"/>
      <c r="K769" s="33" t="n"/>
      <c r="L769" s="33" t="n"/>
      <c r="N769" s="34">
        <f>IF($A769="",NA(),IF(C769&gt;0,D769/C769,0))</f>
        <v/>
      </c>
      <c r="O769" s="34">
        <f>IF($A769="",NA(),IF(E769&gt;0,F769/E769,0))</f>
        <v/>
      </c>
      <c r="P769" s="34">
        <f>IF($A769="",NA(),IF(K769+L769&gt;0,K769/(K769+L769),0.5))</f>
        <v/>
      </c>
      <c r="Q769" s="34">
        <f>IF($A769="",NA(),1-P769)</f>
        <v/>
      </c>
      <c r="R769" s="33">
        <f>IF($A769="",NA(),MAX(0,E769-F769)*IF(G769&gt;0,H769/G769,COMPAREC_PAD)*IF(I769&gt;0,J769/I769,VALIDOS_PAD))</f>
        <v/>
      </c>
      <c r="S769" s="34">
        <f>IF($A769="",NA(),IF(R769&gt;0,0.5-(K769-L769)/(2*R769),0))</f>
        <v/>
      </c>
      <c r="T769" s="34">
        <f>IF($A769="",NA(),IF(R769&lt;=0,IF(K769&gt;L769,1,IF(K769&lt;L769,0,0.5)),1-NORMDIST(S769,P769+AJUSTE,SIGMA,TRUE)))</f>
        <v/>
      </c>
      <c r="U769" s="34">
        <f>IF($A769="",NA(),1-T769)</f>
        <v/>
      </c>
    </row>
    <row r="770"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3" t="n"/>
      <c r="N770" s="34">
        <f>IF($A770="",NA(),IF(C770&gt;0,D770/C770,0))</f>
        <v/>
      </c>
      <c r="O770" s="34">
        <f>IF($A770="",NA(),IF(E770&gt;0,F770/E770,0))</f>
        <v/>
      </c>
      <c r="P770" s="34">
        <f>IF($A770="",NA(),IF(K770+L770&gt;0,K770/(K770+L770),0.5))</f>
        <v/>
      </c>
      <c r="Q770" s="34">
        <f>IF($A770="",NA(),1-P770)</f>
        <v/>
      </c>
      <c r="R770" s="33">
        <f>IF($A770="",NA(),MAX(0,E770-F770)*IF(G770&gt;0,H770/G770,COMPAREC_PAD)*IF(I770&gt;0,J770/I770,VALIDOS_PAD))</f>
        <v/>
      </c>
      <c r="S770" s="34">
        <f>IF($A770="",NA(),IF(R770&gt;0,0.5-(K770-L770)/(2*R770),0))</f>
        <v/>
      </c>
      <c r="T770" s="34">
        <f>IF($A770="",NA(),IF(R770&lt;=0,IF(K770&gt;L770,1,IF(K770&lt;L770,0,0.5)),1-NORMDIST(S770,P770+AJUSTE,SIGMA,TRUE)))</f>
        <v/>
      </c>
      <c r="U770" s="34">
        <f>IF($A770="",NA(),1-T770)</f>
        <v/>
      </c>
    </row>
    <row r="771">
      <c r="C771" s="33" t="n"/>
      <c r="D771" s="33" t="n"/>
      <c r="E771" s="33" t="n"/>
      <c r="F771" s="33" t="n"/>
      <c r="G771" s="33" t="n"/>
      <c r="H771" s="33" t="n"/>
      <c r="I771" s="33" t="n"/>
      <c r="J771" s="33" t="n"/>
      <c r="K771" s="33" t="n"/>
      <c r="L771" s="33" t="n"/>
      <c r="N771" s="34">
        <f>IF($A771="",NA(),IF(C771&gt;0,D771/C771,0))</f>
        <v/>
      </c>
      <c r="O771" s="34">
        <f>IF($A771="",NA(),IF(E771&gt;0,F771/E771,0))</f>
        <v/>
      </c>
      <c r="P771" s="34">
        <f>IF($A771="",NA(),IF(K771+L771&gt;0,K771/(K771+L771),0.5))</f>
        <v/>
      </c>
      <c r="Q771" s="34">
        <f>IF($A771="",NA(),1-P771)</f>
        <v/>
      </c>
      <c r="R771" s="33">
        <f>IF($A771="",NA(),MAX(0,E771-F771)*IF(G771&gt;0,H771/G771,COMPAREC_PAD)*IF(I771&gt;0,J771/I771,VALIDOS_PAD))</f>
        <v/>
      </c>
      <c r="S771" s="34">
        <f>IF($A771="",NA(),IF(R771&gt;0,0.5-(K771-L771)/(2*R771),0))</f>
        <v/>
      </c>
      <c r="T771" s="34">
        <f>IF($A771="",NA(),IF(R771&lt;=0,IF(K771&gt;L771,1,IF(K771&lt;L771,0,0.5)),1-NORMDIST(S771,P771+AJUSTE,SIGMA,TRUE)))</f>
        <v/>
      </c>
      <c r="U771" s="34">
        <f>IF($A771="",NA(),1-T771)</f>
        <v/>
      </c>
    </row>
    <row r="772"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3" t="n"/>
      <c r="N772" s="34">
        <f>IF($A772="",NA(),IF(C772&gt;0,D772/C772,0))</f>
        <v/>
      </c>
      <c r="O772" s="34">
        <f>IF($A772="",NA(),IF(E772&gt;0,F772/E772,0))</f>
        <v/>
      </c>
      <c r="P772" s="34">
        <f>IF($A772="",NA(),IF(K772+L772&gt;0,K772/(K772+L772),0.5))</f>
        <v/>
      </c>
      <c r="Q772" s="34">
        <f>IF($A772="",NA(),1-P772)</f>
        <v/>
      </c>
      <c r="R772" s="33">
        <f>IF($A772="",NA(),MAX(0,E772-F772)*IF(G772&gt;0,H772/G772,COMPAREC_PAD)*IF(I772&gt;0,J772/I772,VALIDOS_PAD))</f>
        <v/>
      </c>
      <c r="S772" s="34">
        <f>IF($A772="",NA(),IF(R772&gt;0,0.5-(K772-L772)/(2*R772),0))</f>
        <v/>
      </c>
      <c r="T772" s="34">
        <f>IF($A772="",NA(),IF(R772&lt;=0,IF(K772&gt;L772,1,IF(K772&lt;L772,0,0.5)),1-NORMDIST(S772,P772+AJUSTE,SIGMA,TRUE)))</f>
        <v/>
      </c>
      <c r="U772" s="34">
        <f>IF($A772="",NA(),1-T772)</f>
        <v/>
      </c>
    </row>
    <row r="773">
      <c r="C773" s="33" t="n"/>
      <c r="D773" s="33" t="n"/>
      <c r="E773" s="33" t="n"/>
      <c r="F773" s="33" t="n"/>
      <c r="G773" s="33" t="n"/>
      <c r="H773" s="33" t="n"/>
      <c r="I773" s="33" t="n"/>
      <c r="J773" s="33" t="n"/>
      <c r="K773" s="33" t="n"/>
      <c r="L773" s="33" t="n"/>
      <c r="N773" s="34">
        <f>IF($A773="",NA(),IF(C773&gt;0,D773/C773,0))</f>
        <v/>
      </c>
      <c r="O773" s="34">
        <f>IF($A773="",NA(),IF(E773&gt;0,F773/E773,0))</f>
        <v/>
      </c>
      <c r="P773" s="34">
        <f>IF($A773="",NA(),IF(K773+L773&gt;0,K773/(K773+L773),0.5))</f>
        <v/>
      </c>
      <c r="Q773" s="34">
        <f>IF($A773="",NA(),1-P773)</f>
        <v/>
      </c>
      <c r="R773" s="33">
        <f>IF($A773="",NA(),MAX(0,E773-F773)*IF(G773&gt;0,H773/G773,COMPAREC_PAD)*IF(I773&gt;0,J773/I773,VALIDOS_PAD))</f>
        <v/>
      </c>
      <c r="S773" s="34">
        <f>IF($A773="",NA(),IF(R773&gt;0,0.5-(K773-L773)/(2*R773),0))</f>
        <v/>
      </c>
      <c r="T773" s="34">
        <f>IF($A773="",NA(),IF(R773&lt;=0,IF(K773&gt;L773,1,IF(K773&lt;L773,0,0.5)),1-NORMDIST(S773,P773+AJUSTE,SIGMA,TRUE)))</f>
        <v/>
      </c>
      <c r="U773" s="34">
        <f>IF($A773="",NA(),1-T773)</f>
        <v/>
      </c>
    </row>
    <row r="774"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3" t="n"/>
      <c r="N774" s="34">
        <f>IF($A774="",NA(),IF(C774&gt;0,D774/C774,0))</f>
        <v/>
      </c>
      <c r="O774" s="34">
        <f>IF($A774="",NA(),IF(E774&gt;0,F774/E774,0))</f>
        <v/>
      </c>
      <c r="P774" s="34">
        <f>IF($A774="",NA(),IF(K774+L774&gt;0,K774/(K774+L774),0.5))</f>
        <v/>
      </c>
      <c r="Q774" s="34">
        <f>IF($A774="",NA(),1-P774)</f>
        <v/>
      </c>
      <c r="R774" s="33">
        <f>IF($A774="",NA(),MAX(0,E774-F774)*IF(G774&gt;0,H774/G774,COMPAREC_PAD)*IF(I774&gt;0,J774/I774,VALIDOS_PAD))</f>
        <v/>
      </c>
      <c r="S774" s="34">
        <f>IF($A774="",NA(),IF(R774&gt;0,0.5-(K774-L774)/(2*R774),0))</f>
        <v/>
      </c>
      <c r="T774" s="34">
        <f>IF($A774="",NA(),IF(R774&lt;=0,IF(K774&gt;L774,1,IF(K774&lt;L774,0,0.5)),1-NORMDIST(S774,P774+AJUSTE,SIGMA,TRUE)))</f>
        <v/>
      </c>
      <c r="U774" s="34">
        <f>IF($A774="",NA(),1-T774)</f>
        <v/>
      </c>
    </row>
    <row r="775">
      <c r="C775" s="33" t="n"/>
      <c r="D775" s="33" t="n"/>
      <c r="E775" s="33" t="n"/>
      <c r="F775" s="33" t="n"/>
      <c r="G775" s="33" t="n"/>
      <c r="H775" s="33" t="n"/>
      <c r="I775" s="33" t="n"/>
      <c r="J775" s="33" t="n"/>
      <c r="K775" s="33" t="n"/>
      <c r="L775" s="33" t="n"/>
      <c r="N775" s="34">
        <f>IF($A775="",NA(),IF(C775&gt;0,D775/C775,0))</f>
        <v/>
      </c>
      <c r="O775" s="34">
        <f>IF($A775="",NA(),IF(E775&gt;0,F775/E775,0))</f>
        <v/>
      </c>
      <c r="P775" s="34">
        <f>IF($A775="",NA(),IF(K775+L775&gt;0,K775/(K775+L775),0.5))</f>
        <v/>
      </c>
      <c r="Q775" s="34">
        <f>IF($A775="",NA(),1-P775)</f>
        <v/>
      </c>
      <c r="R775" s="33">
        <f>IF($A775="",NA(),MAX(0,E775-F775)*IF(G775&gt;0,H775/G775,COMPAREC_PAD)*IF(I775&gt;0,J775/I775,VALIDOS_PAD))</f>
        <v/>
      </c>
      <c r="S775" s="34">
        <f>IF($A775="",NA(),IF(R775&gt;0,0.5-(K775-L775)/(2*R775),0))</f>
        <v/>
      </c>
      <c r="T775" s="34">
        <f>IF($A775="",NA(),IF(R775&lt;=0,IF(K775&gt;L775,1,IF(K775&lt;L775,0,0.5)),1-NORMDIST(S775,P775+AJUSTE,SIGMA,TRUE)))</f>
        <v/>
      </c>
      <c r="U775" s="34">
        <f>IF($A775="",NA(),1-T775)</f>
        <v/>
      </c>
    </row>
    <row r="776"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3" t="n"/>
      <c r="N776" s="34">
        <f>IF($A776="",NA(),IF(C776&gt;0,D776/C776,0))</f>
        <v/>
      </c>
      <c r="O776" s="34">
        <f>IF($A776="",NA(),IF(E776&gt;0,F776/E776,0))</f>
        <v/>
      </c>
      <c r="P776" s="34">
        <f>IF($A776="",NA(),IF(K776+L776&gt;0,K776/(K776+L776),0.5))</f>
        <v/>
      </c>
      <c r="Q776" s="34">
        <f>IF($A776="",NA(),1-P776)</f>
        <v/>
      </c>
      <c r="R776" s="33">
        <f>IF($A776="",NA(),MAX(0,E776-F776)*IF(G776&gt;0,H776/G776,COMPAREC_PAD)*IF(I776&gt;0,J776/I776,VALIDOS_PAD))</f>
        <v/>
      </c>
      <c r="S776" s="34">
        <f>IF($A776="",NA(),IF(R776&gt;0,0.5-(K776-L776)/(2*R776),0))</f>
        <v/>
      </c>
      <c r="T776" s="34">
        <f>IF($A776="",NA(),IF(R776&lt;=0,IF(K776&gt;L776,1,IF(K776&lt;L776,0,0.5)),1-NORMDIST(S776,P776+AJUSTE,SIGMA,TRUE)))</f>
        <v/>
      </c>
      <c r="U776" s="34">
        <f>IF($A776="",NA(),1-T776)</f>
        <v/>
      </c>
    </row>
    <row r="777">
      <c r="C777" s="33" t="n"/>
      <c r="D777" s="33" t="n"/>
      <c r="E777" s="33" t="n"/>
      <c r="F777" s="33" t="n"/>
      <c r="G777" s="33" t="n"/>
      <c r="H777" s="33" t="n"/>
      <c r="I777" s="33" t="n"/>
      <c r="J777" s="33" t="n"/>
      <c r="K777" s="33" t="n"/>
      <c r="L777" s="33" t="n"/>
      <c r="N777" s="34">
        <f>IF($A777="",NA(),IF(C777&gt;0,D777/C777,0))</f>
        <v/>
      </c>
      <c r="O777" s="34">
        <f>IF($A777="",NA(),IF(E777&gt;0,F777/E777,0))</f>
        <v/>
      </c>
      <c r="P777" s="34">
        <f>IF($A777="",NA(),IF(K777+L777&gt;0,K777/(K777+L777),0.5))</f>
        <v/>
      </c>
      <c r="Q777" s="34">
        <f>IF($A777="",NA(),1-P777)</f>
        <v/>
      </c>
      <c r="R777" s="33">
        <f>IF($A777="",NA(),MAX(0,E777-F777)*IF(G777&gt;0,H777/G777,COMPAREC_PAD)*IF(I777&gt;0,J777/I777,VALIDOS_PAD))</f>
        <v/>
      </c>
      <c r="S777" s="34">
        <f>IF($A777="",NA(),IF(R777&gt;0,0.5-(K777-L777)/(2*R777),0))</f>
        <v/>
      </c>
      <c r="T777" s="34">
        <f>IF($A777="",NA(),IF(R777&lt;=0,IF(K777&gt;L777,1,IF(K777&lt;L777,0,0.5)),1-NORMDIST(S777,P777+AJUSTE,SIGMA,TRUE)))</f>
        <v/>
      </c>
      <c r="U777" s="34">
        <f>IF($A777="",NA(),1-T777)</f>
        <v/>
      </c>
    </row>
    <row r="778"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3" t="n"/>
      <c r="N778" s="34">
        <f>IF($A778="",NA(),IF(C778&gt;0,D778/C778,0))</f>
        <v/>
      </c>
      <c r="O778" s="34">
        <f>IF($A778="",NA(),IF(E778&gt;0,F778/E778,0))</f>
        <v/>
      </c>
      <c r="P778" s="34">
        <f>IF($A778="",NA(),IF(K778+L778&gt;0,K778/(K778+L778),0.5))</f>
        <v/>
      </c>
      <c r="Q778" s="34">
        <f>IF($A778="",NA(),1-P778)</f>
        <v/>
      </c>
      <c r="R778" s="33">
        <f>IF($A778="",NA(),MAX(0,E778-F778)*IF(G778&gt;0,H778/G778,COMPAREC_PAD)*IF(I778&gt;0,J778/I778,VALIDOS_PAD))</f>
        <v/>
      </c>
      <c r="S778" s="34">
        <f>IF($A778="",NA(),IF(R778&gt;0,0.5-(K778-L778)/(2*R778),0))</f>
        <v/>
      </c>
      <c r="T778" s="34">
        <f>IF($A778="",NA(),IF(R778&lt;=0,IF(K778&gt;L778,1,IF(K778&lt;L778,0,0.5)),1-NORMDIST(S778,P778+AJUSTE,SIGMA,TRUE)))</f>
        <v/>
      </c>
      <c r="U778" s="34">
        <f>IF($A778="",NA(),1-T778)</f>
        <v/>
      </c>
    </row>
    <row r="779">
      <c r="C779" s="33" t="n"/>
      <c r="D779" s="33" t="n"/>
      <c r="E779" s="33" t="n"/>
      <c r="F779" s="33" t="n"/>
      <c r="G779" s="33" t="n"/>
      <c r="H779" s="33" t="n"/>
      <c r="I779" s="33" t="n"/>
      <c r="J779" s="33" t="n"/>
      <c r="K779" s="33" t="n"/>
      <c r="L779" s="33" t="n"/>
      <c r="N779" s="34">
        <f>IF($A779="",NA(),IF(C779&gt;0,D779/C779,0))</f>
        <v/>
      </c>
      <c r="O779" s="34">
        <f>IF($A779="",NA(),IF(E779&gt;0,F779/E779,0))</f>
        <v/>
      </c>
      <c r="P779" s="34">
        <f>IF($A779="",NA(),IF(K779+L779&gt;0,K779/(K779+L779),0.5))</f>
        <v/>
      </c>
      <c r="Q779" s="34">
        <f>IF($A779="",NA(),1-P779)</f>
        <v/>
      </c>
      <c r="R779" s="33">
        <f>IF($A779="",NA(),MAX(0,E779-F779)*IF(G779&gt;0,H779/G779,COMPAREC_PAD)*IF(I779&gt;0,J779/I779,VALIDOS_PAD))</f>
        <v/>
      </c>
      <c r="S779" s="34">
        <f>IF($A779="",NA(),IF(R779&gt;0,0.5-(K779-L779)/(2*R779),0))</f>
        <v/>
      </c>
      <c r="T779" s="34">
        <f>IF($A779="",NA(),IF(R779&lt;=0,IF(K779&gt;L779,1,IF(K779&lt;L779,0,0.5)),1-NORMDIST(S779,P779+AJUSTE,SIGMA,TRUE)))</f>
        <v/>
      </c>
      <c r="U779" s="34">
        <f>IF($A779="",NA(),1-T779)</f>
        <v/>
      </c>
    </row>
    <row r="780"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3" t="n"/>
      <c r="N780" s="34">
        <f>IF($A780="",NA(),IF(C780&gt;0,D780/C780,0))</f>
        <v/>
      </c>
      <c r="O780" s="34">
        <f>IF($A780="",NA(),IF(E780&gt;0,F780/E780,0))</f>
        <v/>
      </c>
      <c r="P780" s="34">
        <f>IF($A780="",NA(),IF(K780+L780&gt;0,K780/(K780+L780),0.5))</f>
        <v/>
      </c>
      <c r="Q780" s="34">
        <f>IF($A780="",NA(),1-P780)</f>
        <v/>
      </c>
      <c r="R780" s="33">
        <f>IF($A780="",NA(),MAX(0,E780-F780)*IF(G780&gt;0,H780/G780,COMPAREC_PAD)*IF(I780&gt;0,J780/I780,VALIDOS_PAD))</f>
        <v/>
      </c>
      <c r="S780" s="34">
        <f>IF($A780="",NA(),IF(R780&gt;0,0.5-(K780-L780)/(2*R780),0))</f>
        <v/>
      </c>
      <c r="T780" s="34">
        <f>IF($A780="",NA(),IF(R780&lt;=0,IF(K780&gt;L780,1,IF(K780&lt;L780,0,0.5)),1-NORMDIST(S780,P780+AJUSTE,SIGMA,TRUE)))</f>
        <v/>
      </c>
      <c r="U780" s="34">
        <f>IF($A780="",NA(),1-T780)</f>
        <v/>
      </c>
    </row>
    <row r="781">
      <c r="C781" s="33" t="n"/>
      <c r="D781" s="33" t="n"/>
      <c r="E781" s="33" t="n"/>
      <c r="F781" s="33" t="n"/>
      <c r="G781" s="33" t="n"/>
      <c r="H781" s="33" t="n"/>
      <c r="I781" s="33" t="n"/>
      <c r="J781" s="33" t="n"/>
      <c r="K781" s="33" t="n"/>
      <c r="L781" s="33" t="n"/>
      <c r="N781" s="34">
        <f>IF($A781="",NA(),IF(C781&gt;0,D781/C781,0))</f>
        <v/>
      </c>
      <c r="O781" s="34">
        <f>IF($A781="",NA(),IF(E781&gt;0,F781/E781,0))</f>
        <v/>
      </c>
      <c r="P781" s="34">
        <f>IF($A781="",NA(),IF(K781+L781&gt;0,K781/(K781+L781),0.5))</f>
        <v/>
      </c>
      <c r="Q781" s="34">
        <f>IF($A781="",NA(),1-P781)</f>
        <v/>
      </c>
      <c r="R781" s="33">
        <f>IF($A781="",NA(),MAX(0,E781-F781)*IF(G781&gt;0,H781/G781,COMPAREC_PAD)*IF(I781&gt;0,J781/I781,VALIDOS_PAD))</f>
        <v/>
      </c>
      <c r="S781" s="34">
        <f>IF($A781="",NA(),IF(R781&gt;0,0.5-(K781-L781)/(2*R781),0))</f>
        <v/>
      </c>
      <c r="T781" s="34">
        <f>IF($A781="",NA(),IF(R781&lt;=0,IF(K781&gt;L781,1,IF(K781&lt;L781,0,0.5)),1-NORMDIST(S781,P781+AJUSTE,SIGMA,TRUE)))</f>
        <v/>
      </c>
      <c r="U781" s="34">
        <f>IF($A781="",NA(),1-T781)</f>
        <v/>
      </c>
    </row>
    <row r="782"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3" t="n"/>
      <c r="N782" s="34">
        <f>IF($A782="",NA(),IF(C782&gt;0,D782/C782,0))</f>
        <v/>
      </c>
      <c r="O782" s="34">
        <f>IF($A782="",NA(),IF(E782&gt;0,F782/E782,0))</f>
        <v/>
      </c>
      <c r="P782" s="34">
        <f>IF($A782="",NA(),IF(K782+L782&gt;0,K782/(K782+L782),0.5))</f>
        <v/>
      </c>
      <c r="Q782" s="34">
        <f>IF($A782="",NA(),1-P782)</f>
        <v/>
      </c>
      <c r="R782" s="33">
        <f>IF($A782="",NA(),MAX(0,E782-F782)*IF(G782&gt;0,H782/G782,COMPAREC_PAD)*IF(I782&gt;0,J782/I782,VALIDOS_PAD))</f>
        <v/>
      </c>
      <c r="S782" s="34">
        <f>IF($A782="",NA(),IF(R782&gt;0,0.5-(K782-L782)/(2*R782),0))</f>
        <v/>
      </c>
      <c r="T782" s="34">
        <f>IF($A782="",NA(),IF(R782&lt;=0,IF(K782&gt;L782,1,IF(K782&lt;L782,0,0.5)),1-NORMDIST(S782,P782+AJUSTE,SIGMA,TRUE)))</f>
        <v/>
      </c>
      <c r="U782" s="34">
        <f>IF($A782="",NA(),1-T782)</f>
        <v/>
      </c>
    </row>
    <row r="783">
      <c r="C783" s="33" t="n"/>
      <c r="D783" s="33" t="n"/>
      <c r="E783" s="33" t="n"/>
      <c r="F783" s="33" t="n"/>
      <c r="G783" s="33" t="n"/>
      <c r="H783" s="33" t="n"/>
      <c r="I783" s="33" t="n"/>
      <c r="J783" s="33" t="n"/>
      <c r="K783" s="33" t="n"/>
      <c r="L783" s="33" t="n"/>
      <c r="N783" s="34">
        <f>IF($A783="",NA(),IF(C783&gt;0,D783/C783,0))</f>
        <v/>
      </c>
      <c r="O783" s="34">
        <f>IF($A783="",NA(),IF(E783&gt;0,F783/E783,0))</f>
        <v/>
      </c>
      <c r="P783" s="34">
        <f>IF($A783="",NA(),IF(K783+L783&gt;0,K783/(K783+L783),0.5))</f>
        <v/>
      </c>
      <c r="Q783" s="34">
        <f>IF($A783="",NA(),1-P783)</f>
        <v/>
      </c>
      <c r="R783" s="33">
        <f>IF($A783="",NA(),MAX(0,E783-F783)*IF(G783&gt;0,H783/G783,COMPAREC_PAD)*IF(I783&gt;0,J783/I783,VALIDOS_PAD))</f>
        <v/>
      </c>
      <c r="S783" s="34">
        <f>IF($A783="",NA(),IF(R783&gt;0,0.5-(K783-L783)/(2*R783),0))</f>
        <v/>
      </c>
      <c r="T783" s="34">
        <f>IF($A783="",NA(),IF(R783&lt;=0,IF(K783&gt;L783,1,IF(K783&lt;L783,0,0.5)),1-NORMDIST(S783,P783+AJUSTE,SIGMA,TRUE)))</f>
        <v/>
      </c>
      <c r="U783" s="34">
        <f>IF($A783="",NA(),1-T783)</f>
        <v/>
      </c>
    </row>
    <row r="784"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3" t="n"/>
      <c r="N784" s="34">
        <f>IF($A784="",NA(),IF(C784&gt;0,D784/C784,0))</f>
        <v/>
      </c>
      <c r="O784" s="34">
        <f>IF($A784="",NA(),IF(E784&gt;0,F784/E784,0))</f>
        <v/>
      </c>
      <c r="P784" s="34">
        <f>IF($A784="",NA(),IF(K784+L784&gt;0,K784/(K784+L784),0.5))</f>
        <v/>
      </c>
      <c r="Q784" s="34">
        <f>IF($A784="",NA(),1-P784)</f>
        <v/>
      </c>
      <c r="R784" s="33">
        <f>IF($A784="",NA(),MAX(0,E784-F784)*IF(G784&gt;0,H784/G784,COMPAREC_PAD)*IF(I784&gt;0,J784/I784,VALIDOS_PAD))</f>
        <v/>
      </c>
      <c r="S784" s="34">
        <f>IF($A784="",NA(),IF(R784&gt;0,0.5-(K784-L784)/(2*R784),0))</f>
        <v/>
      </c>
      <c r="T784" s="34">
        <f>IF($A784="",NA(),IF(R784&lt;=0,IF(K784&gt;L784,1,IF(K784&lt;L784,0,0.5)),1-NORMDIST(S784,P784+AJUSTE,SIGMA,TRUE)))</f>
        <v/>
      </c>
      <c r="U784" s="34">
        <f>IF($A784="",NA(),1-T784)</f>
        <v/>
      </c>
    </row>
    <row r="785">
      <c r="C785" s="33" t="n"/>
      <c r="D785" s="33" t="n"/>
      <c r="E785" s="33" t="n"/>
      <c r="F785" s="33" t="n"/>
      <c r="G785" s="33" t="n"/>
      <c r="H785" s="33" t="n"/>
      <c r="I785" s="33" t="n"/>
      <c r="J785" s="33" t="n"/>
      <c r="K785" s="33" t="n"/>
      <c r="L785" s="33" t="n"/>
      <c r="N785" s="34">
        <f>IF($A785="",NA(),IF(C785&gt;0,D785/C785,0))</f>
        <v/>
      </c>
      <c r="O785" s="34">
        <f>IF($A785="",NA(),IF(E785&gt;0,F785/E785,0))</f>
        <v/>
      </c>
      <c r="P785" s="34">
        <f>IF($A785="",NA(),IF(K785+L785&gt;0,K785/(K785+L785),0.5))</f>
        <v/>
      </c>
      <c r="Q785" s="34">
        <f>IF($A785="",NA(),1-P785)</f>
        <v/>
      </c>
      <c r="R785" s="33">
        <f>IF($A785="",NA(),MAX(0,E785-F785)*IF(G785&gt;0,H785/G785,COMPAREC_PAD)*IF(I785&gt;0,J785/I785,VALIDOS_PAD))</f>
        <v/>
      </c>
      <c r="S785" s="34">
        <f>IF($A785="",NA(),IF(R785&gt;0,0.5-(K785-L785)/(2*R785),0))</f>
        <v/>
      </c>
      <c r="T785" s="34">
        <f>IF($A785="",NA(),IF(R785&lt;=0,IF(K785&gt;L785,1,IF(K785&lt;L785,0,0.5)),1-NORMDIST(S785,P785+AJUSTE,SIGMA,TRUE)))</f>
        <v/>
      </c>
      <c r="U785" s="34">
        <f>IF($A785="",NA(),1-T785)</f>
        <v/>
      </c>
    </row>
    <row r="786"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3" t="n"/>
      <c r="N786" s="34">
        <f>IF($A786="",NA(),IF(C786&gt;0,D786/C786,0))</f>
        <v/>
      </c>
      <c r="O786" s="34">
        <f>IF($A786="",NA(),IF(E786&gt;0,F786/E786,0))</f>
        <v/>
      </c>
      <c r="P786" s="34">
        <f>IF($A786="",NA(),IF(K786+L786&gt;0,K786/(K786+L786),0.5))</f>
        <v/>
      </c>
      <c r="Q786" s="34">
        <f>IF($A786="",NA(),1-P786)</f>
        <v/>
      </c>
      <c r="R786" s="33">
        <f>IF($A786="",NA(),MAX(0,E786-F786)*IF(G786&gt;0,H786/G786,COMPAREC_PAD)*IF(I786&gt;0,J786/I786,VALIDOS_PAD))</f>
        <v/>
      </c>
      <c r="S786" s="34">
        <f>IF($A786="",NA(),IF(R786&gt;0,0.5-(K786-L786)/(2*R786),0))</f>
        <v/>
      </c>
      <c r="T786" s="34">
        <f>IF($A786="",NA(),IF(R786&lt;=0,IF(K786&gt;L786,1,IF(K786&lt;L786,0,0.5)),1-NORMDIST(S786,P786+AJUSTE,SIGMA,TRUE)))</f>
        <v/>
      </c>
      <c r="U786" s="34">
        <f>IF($A786="",NA(),1-T786)</f>
        <v/>
      </c>
    </row>
    <row r="787">
      <c r="C787" s="33" t="n"/>
      <c r="D787" s="33" t="n"/>
      <c r="E787" s="33" t="n"/>
      <c r="F787" s="33" t="n"/>
      <c r="G787" s="33" t="n"/>
      <c r="H787" s="33" t="n"/>
      <c r="I787" s="33" t="n"/>
      <c r="J787" s="33" t="n"/>
      <c r="K787" s="33" t="n"/>
      <c r="L787" s="33" t="n"/>
      <c r="N787" s="34">
        <f>IF($A787="",NA(),IF(C787&gt;0,D787/C787,0))</f>
        <v/>
      </c>
      <c r="O787" s="34">
        <f>IF($A787="",NA(),IF(E787&gt;0,F787/E787,0))</f>
        <v/>
      </c>
      <c r="P787" s="34">
        <f>IF($A787="",NA(),IF(K787+L787&gt;0,K787/(K787+L787),0.5))</f>
        <v/>
      </c>
      <c r="Q787" s="34">
        <f>IF($A787="",NA(),1-P787)</f>
        <v/>
      </c>
      <c r="R787" s="33">
        <f>IF($A787="",NA(),MAX(0,E787-F787)*IF(G787&gt;0,H787/G787,COMPAREC_PAD)*IF(I787&gt;0,J787/I787,VALIDOS_PAD))</f>
        <v/>
      </c>
      <c r="S787" s="34">
        <f>IF($A787="",NA(),IF(R787&gt;0,0.5-(K787-L787)/(2*R787),0))</f>
        <v/>
      </c>
      <c r="T787" s="34">
        <f>IF($A787="",NA(),IF(R787&lt;=0,IF(K787&gt;L787,1,IF(K787&lt;L787,0,0.5)),1-NORMDIST(S787,P787+AJUSTE,SIGMA,TRUE)))</f>
        <v/>
      </c>
      <c r="U787" s="34">
        <f>IF($A787="",NA(),1-T787)</f>
        <v/>
      </c>
    </row>
    <row r="788"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3" t="n"/>
      <c r="N788" s="34">
        <f>IF($A788="",NA(),IF(C788&gt;0,D788/C788,0))</f>
        <v/>
      </c>
      <c r="O788" s="34">
        <f>IF($A788="",NA(),IF(E788&gt;0,F788/E788,0))</f>
        <v/>
      </c>
      <c r="P788" s="34">
        <f>IF($A788="",NA(),IF(K788+L788&gt;0,K788/(K788+L788),0.5))</f>
        <v/>
      </c>
      <c r="Q788" s="34">
        <f>IF($A788="",NA(),1-P788)</f>
        <v/>
      </c>
      <c r="R788" s="33">
        <f>IF($A788="",NA(),MAX(0,E788-F788)*IF(G788&gt;0,H788/G788,COMPAREC_PAD)*IF(I788&gt;0,J788/I788,VALIDOS_PAD))</f>
        <v/>
      </c>
      <c r="S788" s="34">
        <f>IF($A788="",NA(),IF(R788&gt;0,0.5-(K788-L788)/(2*R788),0))</f>
        <v/>
      </c>
      <c r="T788" s="34">
        <f>IF($A788="",NA(),IF(R788&lt;=0,IF(K788&gt;L788,1,IF(K788&lt;L788,0,0.5)),1-NORMDIST(S788,P788+AJUSTE,SIGMA,TRUE)))</f>
        <v/>
      </c>
      <c r="U788" s="34">
        <f>IF($A788="",NA(),1-T788)</f>
        <v/>
      </c>
    </row>
    <row r="789"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3" t="n"/>
      <c r="N789" s="34">
        <f>IF($A789="",NA(),IF(C789&gt;0,D789/C789,0))</f>
        <v/>
      </c>
      <c r="O789" s="34">
        <f>IF($A789="",NA(),IF(E789&gt;0,F789/E789,0))</f>
        <v/>
      </c>
      <c r="P789" s="34">
        <f>IF($A789="",NA(),IF(K789+L789&gt;0,K789/(K789+L789),0.5))</f>
        <v/>
      </c>
      <c r="Q789" s="34">
        <f>IF($A789="",NA(),1-P789)</f>
        <v/>
      </c>
      <c r="R789" s="33">
        <f>IF($A789="",NA(),MAX(0,E789-F789)*IF(G789&gt;0,H789/G789,COMPAREC_PAD)*IF(I789&gt;0,J789/I789,VALIDOS_PAD))</f>
        <v/>
      </c>
      <c r="S789" s="34">
        <f>IF($A789="",NA(),IF(R789&gt;0,0.5-(K789-L789)/(2*R789),0))</f>
        <v/>
      </c>
      <c r="T789" s="34">
        <f>IF($A789="",NA(),IF(R789&lt;=0,IF(K789&gt;L789,1,IF(K789&lt;L789,0,0.5)),1-NORMDIST(S789,P789+AJUSTE,SIGMA,TRUE)))</f>
        <v/>
      </c>
      <c r="U789" s="34">
        <f>IF($A789="",NA(),1-T789)</f>
        <v/>
      </c>
    </row>
    <row r="790"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3" t="n"/>
      <c r="N790" s="34">
        <f>IF($A790="",NA(),IF(C790&gt;0,D790/C790,0))</f>
        <v/>
      </c>
      <c r="O790" s="34">
        <f>IF($A790="",NA(),IF(E790&gt;0,F790/E790,0))</f>
        <v/>
      </c>
      <c r="P790" s="34">
        <f>IF($A790="",NA(),IF(K790+L790&gt;0,K790/(K790+L790),0.5))</f>
        <v/>
      </c>
      <c r="Q790" s="34">
        <f>IF($A790="",NA(),1-P790)</f>
        <v/>
      </c>
      <c r="R790" s="33">
        <f>IF($A790="",NA(),MAX(0,E790-F790)*IF(G790&gt;0,H790/G790,COMPAREC_PAD)*IF(I790&gt;0,J790/I790,VALIDOS_PAD))</f>
        <v/>
      </c>
      <c r="S790" s="34">
        <f>IF($A790="",NA(),IF(R790&gt;0,0.5-(K790-L790)/(2*R790),0))</f>
        <v/>
      </c>
      <c r="T790" s="34">
        <f>IF($A790="",NA(),IF(R790&lt;=0,IF(K790&gt;L790,1,IF(K790&lt;L790,0,0.5)),1-NORMDIST(S790,P790+AJUSTE,SIGMA,TRUE)))</f>
        <v/>
      </c>
      <c r="U790" s="34">
        <f>IF($A790="",NA(),1-T790)</f>
        <v/>
      </c>
    </row>
    <row r="791"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3" t="n"/>
      <c r="N791" s="34">
        <f>IF($A791="",NA(),IF(C791&gt;0,D791/C791,0))</f>
        <v/>
      </c>
      <c r="O791" s="34">
        <f>IF($A791="",NA(),IF(E791&gt;0,F791/E791,0))</f>
        <v/>
      </c>
      <c r="P791" s="34">
        <f>IF($A791="",NA(),IF(K791+L791&gt;0,K791/(K791+L791),0.5))</f>
        <v/>
      </c>
      <c r="Q791" s="34">
        <f>IF($A791="",NA(),1-P791)</f>
        <v/>
      </c>
      <c r="R791" s="33">
        <f>IF($A791="",NA(),MAX(0,E791-F791)*IF(G791&gt;0,H791/G791,COMPAREC_PAD)*IF(I791&gt;0,J791/I791,VALIDOS_PAD))</f>
        <v/>
      </c>
      <c r="S791" s="34">
        <f>IF($A791="",NA(),IF(R791&gt;0,0.5-(K791-L791)/(2*R791),0))</f>
        <v/>
      </c>
      <c r="T791" s="34">
        <f>IF($A791="",NA(),IF(R791&lt;=0,IF(K791&gt;L791,1,IF(K791&lt;L791,0,0.5)),1-NORMDIST(S791,P791+AJUSTE,SIGMA,TRUE)))</f>
        <v/>
      </c>
      <c r="U791" s="34">
        <f>IF($A791="",NA(),1-T791)</f>
        <v/>
      </c>
    </row>
    <row r="792"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3" t="n"/>
      <c r="N792" s="34">
        <f>IF($A792="",NA(),IF(C792&gt;0,D792/C792,0))</f>
        <v/>
      </c>
      <c r="O792" s="34">
        <f>IF($A792="",NA(),IF(E792&gt;0,F792/E792,0))</f>
        <v/>
      </c>
      <c r="P792" s="34">
        <f>IF($A792="",NA(),IF(K792+L792&gt;0,K792/(K792+L792),0.5))</f>
        <v/>
      </c>
      <c r="Q792" s="34">
        <f>IF($A792="",NA(),1-P792)</f>
        <v/>
      </c>
      <c r="R792" s="33">
        <f>IF($A792="",NA(),MAX(0,E792-F792)*IF(G792&gt;0,H792/G792,COMPAREC_PAD)*IF(I792&gt;0,J792/I792,VALIDOS_PAD))</f>
        <v/>
      </c>
      <c r="S792" s="34">
        <f>IF($A792="",NA(),IF(R792&gt;0,0.5-(K792-L792)/(2*R792),0))</f>
        <v/>
      </c>
      <c r="T792" s="34">
        <f>IF($A792="",NA(),IF(R792&lt;=0,IF(K792&gt;L792,1,IF(K792&lt;L792,0,0.5)),1-NORMDIST(S792,P792+AJUSTE,SIGMA,TRUE)))</f>
        <v/>
      </c>
      <c r="U792" s="34">
        <f>IF($A792="",NA(),1-T792)</f>
        <v/>
      </c>
    </row>
    <row r="793">
      <c r="C793" s="33" t="n"/>
      <c r="D793" s="33" t="n"/>
      <c r="E793" s="33" t="n"/>
      <c r="F793" s="33" t="n"/>
      <c r="G793" s="33" t="n"/>
      <c r="H793" s="33" t="n"/>
      <c r="I793" s="33" t="n"/>
      <c r="J793" s="33" t="n"/>
      <c r="K793" s="33" t="n"/>
      <c r="L793" s="33" t="n"/>
      <c r="N793" s="34">
        <f>IF($A793="",NA(),IF(C793&gt;0,D793/C793,0))</f>
        <v/>
      </c>
      <c r="O793" s="34">
        <f>IF($A793="",NA(),IF(E793&gt;0,F793/E793,0))</f>
        <v/>
      </c>
      <c r="P793" s="34">
        <f>IF($A793="",NA(),IF(K793+L793&gt;0,K793/(K793+L793),0.5))</f>
        <v/>
      </c>
      <c r="Q793" s="34">
        <f>IF($A793="",NA(),1-P793)</f>
        <v/>
      </c>
      <c r="R793" s="33">
        <f>IF($A793="",NA(),MAX(0,E793-F793)*IF(G793&gt;0,H793/G793,COMPAREC_PAD)*IF(I793&gt;0,J793/I793,VALIDOS_PAD))</f>
        <v/>
      </c>
      <c r="S793" s="34">
        <f>IF($A793="",NA(),IF(R793&gt;0,0.5-(K793-L793)/(2*R793),0))</f>
        <v/>
      </c>
      <c r="T793" s="34">
        <f>IF($A793="",NA(),IF(R793&lt;=0,IF(K793&gt;L793,1,IF(K793&lt;L793,0,0.5)),1-NORMDIST(S793,P793+AJUSTE,SIGMA,TRUE)))</f>
        <v/>
      </c>
      <c r="U793" s="34">
        <f>IF($A793="",NA(),1-T793)</f>
        <v/>
      </c>
    </row>
    <row r="794"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3" t="n"/>
      <c r="N794" s="34">
        <f>IF($A794="",NA(),IF(C794&gt;0,D794/C794,0))</f>
        <v/>
      </c>
      <c r="O794" s="34">
        <f>IF($A794="",NA(),IF(E794&gt;0,F794/E794,0))</f>
        <v/>
      </c>
      <c r="P794" s="34">
        <f>IF($A794="",NA(),IF(K794+L794&gt;0,K794/(K794+L794),0.5))</f>
        <v/>
      </c>
      <c r="Q794" s="34">
        <f>IF($A794="",NA(),1-P794)</f>
        <v/>
      </c>
      <c r="R794" s="33">
        <f>IF($A794="",NA(),MAX(0,E794-F794)*IF(G794&gt;0,H794/G794,COMPAREC_PAD)*IF(I794&gt;0,J794/I794,VALIDOS_PAD))</f>
        <v/>
      </c>
      <c r="S794" s="34">
        <f>IF($A794="",NA(),IF(R794&gt;0,0.5-(K794-L794)/(2*R794),0))</f>
        <v/>
      </c>
      <c r="T794" s="34">
        <f>IF($A794="",NA(),IF(R794&lt;=0,IF(K794&gt;L794,1,IF(K794&lt;L794,0,0.5)),1-NORMDIST(S794,P794+AJUSTE,SIGMA,TRUE)))</f>
        <v/>
      </c>
      <c r="U794" s="34">
        <f>IF($A794="",NA(),1-T794)</f>
        <v/>
      </c>
    </row>
    <row r="795">
      <c r="C795" s="33" t="n"/>
      <c r="D795" s="33" t="n"/>
      <c r="E795" s="33" t="n"/>
      <c r="F795" s="33" t="n"/>
      <c r="G795" s="33" t="n"/>
      <c r="H795" s="33" t="n"/>
      <c r="I795" s="33" t="n"/>
      <c r="J795" s="33" t="n"/>
      <c r="K795" s="33" t="n"/>
      <c r="L795" s="33" t="n"/>
      <c r="N795" s="34">
        <f>IF($A795="",NA(),IF(C795&gt;0,D795/C795,0))</f>
        <v/>
      </c>
      <c r="O795" s="34">
        <f>IF($A795="",NA(),IF(E795&gt;0,F795/E795,0))</f>
        <v/>
      </c>
      <c r="P795" s="34">
        <f>IF($A795="",NA(),IF(K795+L795&gt;0,K795/(K795+L795),0.5))</f>
        <v/>
      </c>
      <c r="Q795" s="34">
        <f>IF($A795="",NA(),1-P795)</f>
        <v/>
      </c>
      <c r="R795" s="33">
        <f>IF($A795="",NA(),MAX(0,E795-F795)*IF(G795&gt;0,H795/G795,COMPAREC_PAD)*IF(I795&gt;0,J795/I795,VALIDOS_PAD))</f>
        <v/>
      </c>
      <c r="S795" s="34">
        <f>IF($A795="",NA(),IF(R795&gt;0,0.5-(K795-L795)/(2*R795),0))</f>
        <v/>
      </c>
      <c r="T795" s="34">
        <f>IF($A795="",NA(),IF(R795&lt;=0,IF(K795&gt;L795,1,IF(K795&lt;L795,0,0.5)),1-NORMDIST(S795,P795+AJUSTE,SIGMA,TRUE)))</f>
        <v/>
      </c>
      <c r="U795" s="34">
        <f>IF($A795="",NA(),1-T795)</f>
        <v/>
      </c>
    </row>
    <row r="796"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3" t="n"/>
      <c r="N796" s="34">
        <f>IF($A796="",NA(),IF(C796&gt;0,D796/C796,0))</f>
        <v/>
      </c>
      <c r="O796" s="34">
        <f>IF($A796="",NA(),IF(E796&gt;0,F796/E796,0))</f>
        <v/>
      </c>
      <c r="P796" s="34">
        <f>IF($A796="",NA(),IF(K796+L796&gt;0,K796/(K796+L796),0.5))</f>
        <v/>
      </c>
      <c r="Q796" s="34">
        <f>IF($A796="",NA(),1-P796)</f>
        <v/>
      </c>
      <c r="R796" s="33">
        <f>IF($A796="",NA(),MAX(0,E796-F796)*IF(G796&gt;0,H796/G796,COMPAREC_PAD)*IF(I796&gt;0,J796/I796,VALIDOS_PAD))</f>
        <v/>
      </c>
      <c r="S796" s="34">
        <f>IF($A796="",NA(),IF(R796&gt;0,0.5-(K796-L796)/(2*R796),0))</f>
        <v/>
      </c>
      <c r="T796" s="34">
        <f>IF($A796="",NA(),IF(R796&lt;=0,IF(K796&gt;L796,1,IF(K796&lt;L796,0,0.5)),1-NORMDIST(S796,P796+AJUSTE,SIGMA,TRUE)))</f>
        <v/>
      </c>
      <c r="U796" s="34">
        <f>IF($A796="",NA(),1-T796)</f>
        <v/>
      </c>
    </row>
    <row r="797">
      <c r="C797" s="33" t="n"/>
      <c r="D797" s="33" t="n"/>
      <c r="E797" s="33" t="n"/>
      <c r="F797" s="33" t="n"/>
      <c r="G797" s="33" t="n"/>
      <c r="H797" s="33" t="n"/>
      <c r="I797" s="33" t="n"/>
      <c r="J797" s="33" t="n"/>
      <c r="K797" s="33" t="n"/>
      <c r="L797" s="33" t="n"/>
      <c r="N797" s="34">
        <f>IF($A797="",NA(),IF(C797&gt;0,D797/C797,0))</f>
        <v/>
      </c>
      <c r="O797" s="34">
        <f>IF($A797="",NA(),IF(E797&gt;0,F797/E797,0))</f>
        <v/>
      </c>
      <c r="P797" s="34">
        <f>IF($A797="",NA(),IF(K797+L797&gt;0,K797/(K797+L797),0.5))</f>
        <v/>
      </c>
      <c r="Q797" s="34">
        <f>IF($A797="",NA(),1-P797)</f>
        <v/>
      </c>
      <c r="R797" s="33">
        <f>IF($A797="",NA(),MAX(0,E797-F797)*IF(G797&gt;0,H797/G797,COMPAREC_PAD)*IF(I797&gt;0,J797/I797,VALIDOS_PAD))</f>
        <v/>
      </c>
      <c r="S797" s="34">
        <f>IF($A797="",NA(),IF(R797&gt;0,0.5-(K797-L797)/(2*R797),0))</f>
        <v/>
      </c>
      <c r="T797" s="34">
        <f>IF($A797="",NA(),IF(R797&lt;=0,IF(K797&gt;L797,1,IF(K797&lt;L797,0,0.5)),1-NORMDIST(S797,P797+AJUSTE,SIGMA,TRUE)))</f>
        <v/>
      </c>
      <c r="U797" s="34">
        <f>IF($A797="",NA(),1-T797)</f>
        <v/>
      </c>
    </row>
    <row r="798"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3" t="n"/>
      <c r="N798" s="34">
        <f>IF($A798="",NA(),IF(C798&gt;0,D798/C798,0))</f>
        <v/>
      </c>
      <c r="O798" s="34">
        <f>IF($A798="",NA(),IF(E798&gt;0,F798/E798,0))</f>
        <v/>
      </c>
      <c r="P798" s="34">
        <f>IF($A798="",NA(),IF(K798+L798&gt;0,K798/(K798+L798),0.5))</f>
        <v/>
      </c>
      <c r="Q798" s="34">
        <f>IF($A798="",NA(),1-P798)</f>
        <v/>
      </c>
      <c r="R798" s="33">
        <f>IF($A798="",NA(),MAX(0,E798-F798)*IF(G798&gt;0,H798/G798,COMPAREC_PAD)*IF(I798&gt;0,J798/I798,VALIDOS_PAD))</f>
        <v/>
      </c>
      <c r="S798" s="34">
        <f>IF($A798="",NA(),IF(R798&gt;0,0.5-(K798-L798)/(2*R798),0))</f>
        <v/>
      </c>
      <c r="T798" s="34">
        <f>IF($A798="",NA(),IF(R798&lt;=0,IF(K798&gt;L798,1,IF(K798&lt;L798,0,0.5)),1-NORMDIST(S798,P798+AJUSTE,SIGMA,TRUE)))</f>
        <v/>
      </c>
      <c r="U798" s="34">
        <f>IF($A798="",NA(),1-T798)</f>
        <v/>
      </c>
    </row>
    <row r="799">
      <c r="C799" s="33" t="n"/>
      <c r="D799" s="33" t="n"/>
      <c r="E799" s="33" t="n"/>
      <c r="F799" s="33" t="n"/>
      <c r="G799" s="33" t="n"/>
      <c r="H799" s="33" t="n"/>
      <c r="I799" s="33" t="n"/>
      <c r="J799" s="33" t="n"/>
      <c r="K799" s="33" t="n"/>
      <c r="L799" s="33" t="n"/>
      <c r="N799" s="34">
        <f>IF($A799="",NA(),IF(C799&gt;0,D799/C799,0))</f>
        <v/>
      </c>
      <c r="O799" s="34">
        <f>IF($A799="",NA(),IF(E799&gt;0,F799/E799,0))</f>
        <v/>
      </c>
      <c r="P799" s="34">
        <f>IF($A799="",NA(),IF(K799+L799&gt;0,K799/(K799+L799),0.5))</f>
        <v/>
      </c>
      <c r="Q799" s="34">
        <f>IF($A799="",NA(),1-P799)</f>
        <v/>
      </c>
      <c r="R799" s="33">
        <f>IF($A799="",NA(),MAX(0,E799-F799)*IF(G799&gt;0,H799/G799,COMPAREC_PAD)*IF(I799&gt;0,J799/I799,VALIDOS_PAD))</f>
        <v/>
      </c>
      <c r="S799" s="34">
        <f>IF($A799="",NA(),IF(R799&gt;0,0.5-(K799-L799)/(2*R799),0))</f>
        <v/>
      </c>
      <c r="T799" s="34">
        <f>IF($A799="",NA(),IF(R799&lt;=0,IF(K799&gt;L799,1,IF(K799&lt;L799,0,0.5)),1-NORMDIST(S799,P799+AJUSTE,SIGMA,TRUE)))</f>
        <v/>
      </c>
      <c r="U799" s="34">
        <f>IF($A799="",NA(),1-T799)</f>
        <v/>
      </c>
    </row>
    <row r="800"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3" t="n"/>
      <c r="N800" s="34">
        <f>IF($A800="",NA(),IF(C800&gt;0,D800/C800,0))</f>
        <v/>
      </c>
      <c r="O800" s="34">
        <f>IF($A800="",NA(),IF(E800&gt;0,F800/E800,0))</f>
        <v/>
      </c>
      <c r="P800" s="34">
        <f>IF($A800="",NA(),IF(K800+L800&gt;0,K800/(K800+L800),0.5))</f>
        <v/>
      </c>
      <c r="Q800" s="34">
        <f>IF($A800="",NA(),1-P800)</f>
        <v/>
      </c>
      <c r="R800" s="33">
        <f>IF($A800="",NA(),MAX(0,E800-F800)*IF(G800&gt;0,H800/G800,COMPAREC_PAD)*IF(I800&gt;0,J800/I800,VALIDOS_PAD))</f>
        <v/>
      </c>
      <c r="S800" s="34">
        <f>IF($A800="",NA(),IF(R800&gt;0,0.5-(K800-L800)/(2*R800),0))</f>
        <v/>
      </c>
      <c r="T800" s="34">
        <f>IF($A800="",NA(),IF(R800&lt;=0,IF(K800&gt;L800,1,IF(K800&lt;L800,0,0.5)),1-NORMDIST(S800,P800+AJUSTE,SIGMA,TRUE)))</f>
        <v/>
      </c>
      <c r="U800" s="34">
        <f>IF($A800="",NA(),1-T800)</f>
        <v/>
      </c>
    </row>
    <row r="801">
      <c r="C801" s="33" t="n"/>
      <c r="D801" s="33" t="n"/>
      <c r="E801" s="33" t="n"/>
      <c r="F801" s="33" t="n"/>
      <c r="G801" s="33" t="n"/>
      <c r="H801" s="33" t="n"/>
      <c r="I801" s="33" t="n"/>
      <c r="J801" s="33" t="n"/>
      <c r="K801" s="33" t="n"/>
      <c r="L801" s="33" t="n"/>
      <c r="N801" s="34">
        <f>IF($A801="",NA(),IF(C801&gt;0,D801/C801,0))</f>
        <v/>
      </c>
      <c r="O801" s="34">
        <f>IF($A801="",NA(),IF(E801&gt;0,F801/E801,0))</f>
        <v/>
      </c>
      <c r="P801" s="34">
        <f>IF($A801="",NA(),IF(K801+L801&gt;0,K801/(K801+L801),0.5))</f>
        <v/>
      </c>
      <c r="Q801" s="34">
        <f>IF($A801="",NA(),1-P801)</f>
        <v/>
      </c>
      <c r="R801" s="33">
        <f>IF($A801="",NA(),MAX(0,E801-F801)*IF(G801&gt;0,H801/G801,COMPAREC_PAD)*IF(I801&gt;0,J801/I801,VALIDOS_PAD))</f>
        <v/>
      </c>
      <c r="S801" s="34">
        <f>IF($A801="",NA(),IF(R801&gt;0,0.5-(K801-L801)/(2*R801),0))</f>
        <v/>
      </c>
      <c r="T801" s="34">
        <f>IF($A801="",NA(),IF(R801&lt;=0,IF(K801&gt;L801,1,IF(K801&lt;L801,0,0.5)),1-NORMDIST(S801,P801+AJUSTE,SIGMA,TRUE)))</f>
        <v/>
      </c>
      <c r="U801" s="34">
        <f>IF($A801="",NA(),1-T801)</f>
        <v/>
      </c>
    </row>
    <row r="802"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3" t="n"/>
      <c r="N802" s="34">
        <f>IF($A802="",NA(),IF(C802&gt;0,D802/C802,0))</f>
        <v/>
      </c>
      <c r="O802" s="34">
        <f>IF($A802="",NA(),IF(E802&gt;0,F802/E802,0))</f>
        <v/>
      </c>
      <c r="P802" s="34">
        <f>IF($A802="",NA(),IF(K802+L802&gt;0,K802/(K802+L802),0.5))</f>
        <v/>
      </c>
      <c r="Q802" s="34">
        <f>IF($A802="",NA(),1-P802)</f>
        <v/>
      </c>
      <c r="R802" s="33">
        <f>IF($A802="",NA(),MAX(0,E802-F802)*IF(G802&gt;0,H802/G802,COMPAREC_PAD)*IF(I802&gt;0,J802/I802,VALIDOS_PAD))</f>
        <v/>
      </c>
      <c r="S802" s="34">
        <f>IF($A802="",NA(),IF(R802&gt;0,0.5-(K802-L802)/(2*R802),0))</f>
        <v/>
      </c>
      <c r="T802" s="34">
        <f>IF($A802="",NA(),IF(R802&lt;=0,IF(K802&gt;L802,1,IF(K802&lt;L802,0,0.5)),1-NORMDIST(S802,P802+AJUSTE,SIGMA,TRUE)))</f>
        <v/>
      </c>
      <c r="U802" s="34">
        <f>IF($A802="",NA(),1-T802)</f>
        <v/>
      </c>
    </row>
    <row r="803">
      <c r="C803" s="33" t="n"/>
      <c r="D803" s="33" t="n"/>
      <c r="E803" s="33" t="n"/>
      <c r="F803" s="33" t="n"/>
      <c r="G803" s="33" t="n"/>
      <c r="H803" s="33" t="n"/>
      <c r="I803" s="33" t="n"/>
      <c r="J803" s="33" t="n"/>
      <c r="K803" s="33" t="n"/>
      <c r="L803" s="33" t="n"/>
      <c r="N803" s="34">
        <f>IF($A803="",NA(),IF(C803&gt;0,D803/C803,0))</f>
        <v/>
      </c>
      <c r="O803" s="34">
        <f>IF($A803="",NA(),IF(E803&gt;0,F803/E803,0))</f>
        <v/>
      </c>
      <c r="P803" s="34">
        <f>IF($A803="",NA(),IF(K803+L803&gt;0,K803/(K803+L803),0.5))</f>
        <v/>
      </c>
      <c r="Q803" s="34">
        <f>IF($A803="",NA(),1-P803)</f>
        <v/>
      </c>
      <c r="R803" s="33">
        <f>IF($A803="",NA(),MAX(0,E803-F803)*IF(G803&gt;0,H803/G803,COMPAREC_PAD)*IF(I803&gt;0,J803/I803,VALIDOS_PAD))</f>
        <v/>
      </c>
      <c r="S803" s="34">
        <f>IF($A803="",NA(),IF(R803&gt;0,0.5-(K803-L803)/(2*R803),0))</f>
        <v/>
      </c>
      <c r="T803" s="34">
        <f>IF($A803="",NA(),IF(R803&lt;=0,IF(K803&gt;L803,1,IF(K803&lt;L803,0,0.5)),1-NORMDIST(S803,P803+AJUSTE,SIGMA,TRUE)))</f>
        <v/>
      </c>
      <c r="U803" s="34">
        <f>IF($A803="",NA(),1-T803)</f>
        <v/>
      </c>
    </row>
    <row r="804"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3" t="n"/>
      <c r="N804" s="34">
        <f>IF($A804="",NA(),IF(C804&gt;0,D804/C804,0))</f>
        <v/>
      </c>
      <c r="O804" s="34">
        <f>IF($A804="",NA(),IF(E804&gt;0,F804/E804,0))</f>
        <v/>
      </c>
      <c r="P804" s="34">
        <f>IF($A804="",NA(),IF(K804+L804&gt;0,K804/(K804+L804),0.5))</f>
        <v/>
      </c>
      <c r="Q804" s="34">
        <f>IF($A804="",NA(),1-P804)</f>
        <v/>
      </c>
      <c r="R804" s="33">
        <f>IF($A804="",NA(),MAX(0,E804-F804)*IF(G804&gt;0,H804/G804,COMPAREC_PAD)*IF(I804&gt;0,J804/I804,VALIDOS_PAD))</f>
        <v/>
      </c>
      <c r="S804" s="34">
        <f>IF($A804="",NA(),IF(R804&gt;0,0.5-(K804-L804)/(2*R804),0))</f>
        <v/>
      </c>
      <c r="T804" s="34">
        <f>IF($A804="",NA(),IF(R804&lt;=0,IF(K804&gt;L804,1,IF(K804&lt;L804,0,0.5)),1-NORMDIST(S804,P804+AJUSTE,SIGMA,TRUE)))</f>
        <v/>
      </c>
      <c r="U804" s="34">
        <f>IF($A804="",NA(),1-T804)</f>
        <v/>
      </c>
    </row>
    <row r="805">
      <c r="C805" s="33" t="n"/>
      <c r="D805" s="33" t="n"/>
      <c r="E805" s="33" t="n"/>
      <c r="F805" s="33" t="n"/>
      <c r="G805" s="33" t="n"/>
      <c r="H805" s="33" t="n"/>
      <c r="I805" s="33" t="n"/>
      <c r="J805" s="33" t="n"/>
      <c r="K805" s="33" t="n"/>
      <c r="L805" s="33" t="n"/>
      <c r="N805" s="34">
        <f>IF($A805="",NA(),IF(C805&gt;0,D805/C805,0))</f>
        <v/>
      </c>
      <c r="O805" s="34">
        <f>IF($A805="",NA(),IF(E805&gt;0,F805/E805,0))</f>
        <v/>
      </c>
      <c r="P805" s="34">
        <f>IF($A805="",NA(),IF(K805+L805&gt;0,K805/(K805+L805),0.5))</f>
        <v/>
      </c>
      <c r="Q805" s="34">
        <f>IF($A805="",NA(),1-P805)</f>
        <v/>
      </c>
      <c r="R805" s="33">
        <f>IF($A805="",NA(),MAX(0,E805-F805)*IF(G805&gt;0,H805/G805,COMPAREC_PAD)*IF(I805&gt;0,J805/I805,VALIDOS_PAD))</f>
        <v/>
      </c>
      <c r="S805" s="34">
        <f>IF($A805="",NA(),IF(R805&gt;0,0.5-(K805-L805)/(2*R805),0))</f>
        <v/>
      </c>
      <c r="T805" s="34">
        <f>IF($A805="",NA(),IF(R805&lt;=0,IF(K805&gt;L805,1,IF(K805&lt;L805,0,0.5)),1-NORMDIST(S805,P805+AJUSTE,SIGMA,TRUE)))</f>
        <v/>
      </c>
      <c r="U805" s="34">
        <f>IF($A805="",NA(),1-T805)</f>
        <v/>
      </c>
    </row>
    <row r="806"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3" t="n"/>
      <c r="N806" s="34">
        <f>IF($A806="",NA(),IF(C806&gt;0,D806/C806,0))</f>
        <v/>
      </c>
      <c r="O806" s="34">
        <f>IF($A806="",NA(),IF(E806&gt;0,F806/E806,0))</f>
        <v/>
      </c>
      <c r="P806" s="34">
        <f>IF($A806="",NA(),IF(K806+L806&gt;0,K806/(K806+L806),0.5))</f>
        <v/>
      </c>
      <c r="Q806" s="34">
        <f>IF($A806="",NA(),1-P806)</f>
        <v/>
      </c>
      <c r="R806" s="33">
        <f>IF($A806="",NA(),MAX(0,E806-F806)*IF(G806&gt;0,H806/G806,COMPAREC_PAD)*IF(I806&gt;0,J806/I806,VALIDOS_PAD))</f>
        <v/>
      </c>
      <c r="S806" s="34">
        <f>IF($A806="",NA(),IF(R806&gt;0,0.5-(K806-L806)/(2*R806),0))</f>
        <v/>
      </c>
      <c r="T806" s="34">
        <f>IF($A806="",NA(),IF(R806&lt;=0,IF(K806&gt;L806,1,IF(K806&lt;L806,0,0.5)),1-NORMDIST(S806,P806+AJUSTE,SIGMA,TRUE)))</f>
        <v/>
      </c>
      <c r="U806" s="34">
        <f>IF($A806="",NA(),1-T806)</f>
        <v/>
      </c>
    </row>
    <row r="807">
      <c r="C807" s="33" t="n"/>
      <c r="D807" s="33" t="n"/>
      <c r="E807" s="33" t="n"/>
      <c r="F807" s="33" t="n"/>
      <c r="G807" s="33" t="n"/>
      <c r="H807" s="33" t="n"/>
      <c r="I807" s="33" t="n"/>
      <c r="J807" s="33" t="n"/>
      <c r="K807" s="33" t="n"/>
      <c r="L807" s="33" t="n"/>
      <c r="N807" s="34">
        <f>IF($A807="",NA(),IF(C807&gt;0,D807/C807,0))</f>
        <v/>
      </c>
      <c r="O807" s="34">
        <f>IF($A807="",NA(),IF(E807&gt;0,F807/E807,0))</f>
        <v/>
      </c>
      <c r="P807" s="34">
        <f>IF($A807="",NA(),IF(K807+L807&gt;0,K807/(K807+L807),0.5))</f>
        <v/>
      </c>
      <c r="Q807" s="34">
        <f>IF($A807="",NA(),1-P807)</f>
        <v/>
      </c>
      <c r="R807" s="33">
        <f>IF($A807="",NA(),MAX(0,E807-F807)*IF(G807&gt;0,H807/G807,COMPAREC_PAD)*IF(I807&gt;0,J807/I807,VALIDOS_PAD))</f>
        <v/>
      </c>
      <c r="S807" s="34">
        <f>IF($A807="",NA(),IF(R807&gt;0,0.5-(K807-L807)/(2*R807),0))</f>
        <v/>
      </c>
      <c r="T807" s="34">
        <f>IF($A807="",NA(),IF(R807&lt;=0,IF(K807&gt;L807,1,IF(K807&lt;L807,0,0.5)),1-NORMDIST(S807,P807+AJUSTE,SIGMA,TRUE)))</f>
        <v/>
      </c>
      <c r="U807" s="34">
        <f>IF($A807="",NA(),1-T807)</f>
        <v/>
      </c>
    </row>
    <row r="808"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3" t="n"/>
      <c r="N808" s="34">
        <f>IF($A808="",NA(),IF(C808&gt;0,D808/C808,0))</f>
        <v/>
      </c>
      <c r="O808" s="34">
        <f>IF($A808="",NA(),IF(E808&gt;0,F808/E808,0))</f>
        <v/>
      </c>
      <c r="P808" s="34">
        <f>IF($A808="",NA(),IF(K808+L808&gt;0,K808/(K808+L808),0.5))</f>
        <v/>
      </c>
      <c r="Q808" s="34">
        <f>IF($A808="",NA(),1-P808)</f>
        <v/>
      </c>
      <c r="R808" s="33">
        <f>IF($A808="",NA(),MAX(0,E808-F808)*IF(G808&gt;0,H808/G808,COMPAREC_PAD)*IF(I808&gt;0,J808/I808,VALIDOS_PAD))</f>
        <v/>
      </c>
      <c r="S808" s="34">
        <f>IF($A808="",NA(),IF(R808&gt;0,0.5-(K808-L808)/(2*R808),0))</f>
        <v/>
      </c>
      <c r="T808" s="34">
        <f>IF($A808="",NA(),IF(R808&lt;=0,IF(K808&gt;L808,1,IF(K808&lt;L808,0,0.5)),1-NORMDIST(S808,P808+AJUSTE,SIGMA,TRUE)))</f>
        <v/>
      </c>
      <c r="U808" s="34">
        <f>IF($A808="",NA(),1-T808)</f>
        <v/>
      </c>
    </row>
    <row r="809">
      <c r="C809" s="33" t="n"/>
      <c r="D809" s="33" t="n"/>
      <c r="E809" s="33" t="n"/>
      <c r="F809" s="33" t="n"/>
      <c r="G809" s="33" t="n"/>
      <c r="H809" s="33" t="n"/>
      <c r="I809" s="33" t="n"/>
      <c r="J809" s="33" t="n"/>
      <c r="K809" s="33" t="n"/>
      <c r="L809" s="33" t="n"/>
      <c r="N809" s="34">
        <f>IF($A809="",NA(),IF(C809&gt;0,D809/C809,0))</f>
        <v/>
      </c>
      <c r="O809" s="34">
        <f>IF($A809="",NA(),IF(E809&gt;0,F809/E809,0))</f>
        <v/>
      </c>
      <c r="P809" s="34">
        <f>IF($A809="",NA(),IF(K809+L809&gt;0,K809/(K809+L809),0.5))</f>
        <v/>
      </c>
      <c r="Q809" s="34">
        <f>IF($A809="",NA(),1-P809)</f>
        <v/>
      </c>
      <c r="R809" s="33">
        <f>IF($A809="",NA(),MAX(0,E809-F809)*IF(G809&gt;0,H809/G809,COMPAREC_PAD)*IF(I809&gt;0,J809/I809,VALIDOS_PAD))</f>
        <v/>
      </c>
      <c r="S809" s="34">
        <f>IF($A809="",NA(),IF(R809&gt;0,0.5-(K809-L809)/(2*R809),0))</f>
        <v/>
      </c>
      <c r="T809" s="34">
        <f>IF($A809="",NA(),IF(R809&lt;=0,IF(K809&gt;L809,1,IF(K809&lt;L809,0,0.5)),1-NORMDIST(S809,P809+AJUSTE,SIGMA,TRUE)))</f>
        <v/>
      </c>
      <c r="U809" s="34">
        <f>IF($A809="",NA(),1-T809)</f>
        <v/>
      </c>
    </row>
    <row r="810"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3" t="n"/>
      <c r="N810" s="34">
        <f>IF($A810="",NA(),IF(C810&gt;0,D810/C810,0))</f>
        <v/>
      </c>
      <c r="O810" s="34">
        <f>IF($A810="",NA(),IF(E810&gt;0,F810/E810,0))</f>
        <v/>
      </c>
      <c r="P810" s="34">
        <f>IF($A810="",NA(),IF(K810+L810&gt;0,K810/(K810+L810),0.5))</f>
        <v/>
      </c>
      <c r="Q810" s="34">
        <f>IF($A810="",NA(),1-P810)</f>
        <v/>
      </c>
      <c r="R810" s="33">
        <f>IF($A810="",NA(),MAX(0,E810-F810)*IF(G810&gt;0,H810/G810,COMPAREC_PAD)*IF(I810&gt;0,J810/I810,VALIDOS_PAD))</f>
        <v/>
      </c>
      <c r="S810" s="34">
        <f>IF($A810="",NA(),IF(R810&gt;0,0.5-(K810-L810)/(2*R810),0))</f>
        <v/>
      </c>
      <c r="T810" s="34">
        <f>IF($A810="",NA(),IF(R810&lt;=0,IF(K810&gt;L810,1,IF(K810&lt;L810,0,0.5)),1-NORMDIST(S810,P810+AJUSTE,SIGMA,TRUE)))</f>
        <v/>
      </c>
      <c r="U810" s="34">
        <f>IF($A810="",NA(),1-T810)</f>
        <v/>
      </c>
    </row>
    <row r="811">
      <c r="C811" s="33" t="n"/>
      <c r="D811" s="33" t="n"/>
      <c r="E811" s="33" t="n"/>
      <c r="F811" s="33" t="n"/>
      <c r="G811" s="33" t="n"/>
      <c r="H811" s="33" t="n"/>
      <c r="I811" s="33" t="n"/>
      <c r="J811" s="33" t="n"/>
      <c r="K811" s="33" t="n"/>
      <c r="L811" s="33" t="n"/>
      <c r="N811" s="34">
        <f>IF($A811="",NA(),IF(C811&gt;0,D811/C811,0))</f>
        <v/>
      </c>
      <c r="O811" s="34">
        <f>IF($A811="",NA(),IF(E811&gt;0,F811/E811,0))</f>
        <v/>
      </c>
      <c r="P811" s="34">
        <f>IF($A811="",NA(),IF(K811+L811&gt;0,K811/(K811+L811),0.5))</f>
        <v/>
      </c>
      <c r="Q811" s="34">
        <f>IF($A811="",NA(),1-P811)</f>
        <v/>
      </c>
      <c r="R811" s="33">
        <f>IF($A811="",NA(),MAX(0,E811-F811)*IF(G811&gt;0,H811/G811,COMPAREC_PAD)*IF(I811&gt;0,J811/I811,VALIDOS_PAD))</f>
        <v/>
      </c>
      <c r="S811" s="34">
        <f>IF($A811="",NA(),IF(R811&gt;0,0.5-(K811-L811)/(2*R811),0))</f>
        <v/>
      </c>
      <c r="T811" s="34">
        <f>IF($A811="",NA(),IF(R811&lt;=0,IF(K811&gt;L811,1,IF(K811&lt;L811,0,0.5)),1-NORMDIST(S811,P811+AJUSTE,SIGMA,TRUE)))</f>
        <v/>
      </c>
      <c r="U811" s="34">
        <f>IF($A811="",NA(),1-T811)</f>
        <v/>
      </c>
    </row>
    <row r="812"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3" t="n"/>
      <c r="N812" s="34">
        <f>IF($A812="",NA(),IF(C812&gt;0,D812/C812,0))</f>
        <v/>
      </c>
      <c r="O812" s="34">
        <f>IF($A812="",NA(),IF(E812&gt;0,F812/E812,0))</f>
        <v/>
      </c>
      <c r="P812" s="34">
        <f>IF($A812="",NA(),IF(K812+L812&gt;0,K812/(K812+L812),0.5))</f>
        <v/>
      </c>
      <c r="Q812" s="34">
        <f>IF($A812="",NA(),1-P812)</f>
        <v/>
      </c>
      <c r="R812" s="33">
        <f>IF($A812="",NA(),MAX(0,E812-F812)*IF(G812&gt;0,H812/G812,COMPAREC_PAD)*IF(I812&gt;0,J812/I812,VALIDOS_PAD))</f>
        <v/>
      </c>
      <c r="S812" s="34">
        <f>IF($A812="",NA(),IF(R812&gt;0,0.5-(K812-L812)/(2*R812),0))</f>
        <v/>
      </c>
      <c r="T812" s="34">
        <f>IF($A812="",NA(),IF(R812&lt;=0,IF(K812&gt;L812,1,IF(K812&lt;L812,0,0.5)),1-NORMDIST(S812,P812+AJUSTE,SIGMA,TRUE)))</f>
        <v/>
      </c>
      <c r="U812" s="34">
        <f>IF($A812="",NA(),1-T812)</f>
        <v/>
      </c>
    </row>
    <row r="813">
      <c r="C813" s="33" t="n"/>
      <c r="D813" s="33" t="n"/>
      <c r="E813" s="33" t="n"/>
      <c r="F813" s="33" t="n"/>
      <c r="G813" s="33" t="n"/>
      <c r="H813" s="33" t="n"/>
      <c r="I813" s="33" t="n"/>
      <c r="J813" s="33" t="n"/>
      <c r="K813" s="33" t="n"/>
      <c r="L813" s="33" t="n"/>
      <c r="N813" s="34">
        <f>IF($A813="",NA(),IF(C813&gt;0,D813/C813,0))</f>
        <v/>
      </c>
      <c r="O813" s="34">
        <f>IF($A813="",NA(),IF(E813&gt;0,F813/E813,0))</f>
        <v/>
      </c>
      <c r="P813" s="34">
        <f>IF($A813="",NA(),IF(K813+L813&gt;0,K813/(K813+L813),0.5))</f>
        <v/>
      </c>
      <c r="Q813" s="34">
        <f>IF($A813="",NA(),1-P813)</f>
        <v/>
      </c>
      <c r="R813" s="33">
        <f>IF($A813="",NA(),MAX(0,E813-F813)*IF(G813&gt;0,H813/G813,COMPAREC_PAD)*IF(I813&gt;0,J813/I813,VALIDOS_PAD))</f>
        <v/>
      </c>
      <c r="S813" s="34">
        <f>IF($A813="",NA(),IF(R813&gt;0,0.5-(K813-L813)/(2*R813),0))</f>
        <v/>
      </c>
      <c r="T813" s="34">
        <f>IF($A813="",NA(),IF(R813&lt;=0,IF(K813&gt;L813,1,IF(K813&lt;L813,0,0.5)),1-NORMDIST(S813,P813+AJUSTE,SIGMA,TRUE)))</f>
        <v/>
      </c>
      <c r="U813" s="34">
        <f>IF($A813="",NA(),1-T813)</f>
        <v/>
      </c>
    </row>
    <row r="814"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3" t="n"/>
      <c r="N814" s="34">
        <f>IF($A814="",NA(),IF(C814&gt;0,D814/C814,0))</f>
        <v/>
      </c>
      <c r="O814" s="34">
        <f>IF($A814="",NA(),IF(E814&gt;0,F814/E814,0))</f>
        <v/>
      </c>
      <c r="P814" s="34">
        <f>IF($A814="",NA(),IF(K814+L814&gt;0,K814/(K814+L814),0.5))</f>
        <v/>
      </c>
      <c r="Q814" s="34">
        <f>IF($A814="",NA(),1-P814)</f>
        <v/>
      </c>
      <c r="R814" s="33">
        <f>IF($A814="",NA(),MAX(0,E814-F814)*IF(G814&gt;0,H814/G814,COMPAREC_PAD)*IF(I814&gt;0,J814/I814,VALIDOS_PAD))</f>
        <v/>
      </c>
      <c r="S814" s="34">
        <f>IF($A814="",NA(),IF(R814&gt;0,0.5-(K814-L814)/(2*R814),0))</f>
        <v/>
      </c>
      <c r="T814" s="34">
        <f>IF($A814="",NA(),IF(R814&lt;=0,IF(K814&gt;L814,1,IF(K814&lt;L814,0,0.5)),1-NORMDIST(S814,P814+AJUSTE,SIGMA,TRUE)))</f>
        <v/>
      </c>
      <c r="U814" s="34">
        <f>IF($A814="",NA(),1-T814)</f>
        <v/>
      </c>
    </row>
    <row r="815">
      <c r="C815" s="33" t="n"/>
      <c r="D815" s="33" t="n"/>
      <c r="E815" s="33" t="n"/>
      <c r="F815" s="33" t="n"/>
      <c r="G815" s="33" t="n"/>
      <c r="H815" s="33" t="n"/>
      <c r="I815" s="33" t="n"/>
      <c r="J815" s="33" t="n"/>
      <c r="K815" s="33" t="n"/>
      <c r="L815" s="33" t="n"/>
      <c r="N815" s="34">
        <f>IF($A815="",NA(),IF(C815&gt;0,D815/C815,0))</f>
        <v/>
      </c>
      <c r="O815" s="34">
        <f>IF($A815="",NA(),IF(E815&gt;0,F815/E815,0))</f>
        <v/>
      </c>
      <c r="P815" s="34">
        <f>IF($A815="",NA(),IF(K815+L815&gt;0,K815/(K815+L815),0.5))</f>
        <v/>
      </c>
      <c r="Q815" s="34">
        <f>IF($A815="",NA(),1-P815)</f>
        <v/>
      </c>
      <c r="R815" s="33">
        <f>IF($A815="",NA(),MAX(0,E815-F815)*IF(G815&gt;0,H815/G815,COMPAREC_PAD)*IF(I815&gt;0,J815/I815,VALIDOS_PAD))</f>
        <v/>
      </c>
      <c r="S815" s="34">
        <f>IF($A815="",NA(),IF(R815&gt;0,0.5-(K815-L815)/(2*R815),0))</f>
        <v/>
      </c>
      <c r="T815" s="34">
        <f>IF($A815="",NA(),IF(R815&lt;=0,IF(K815&gt;L815,1,IF(K815&lt;L815,0,0.5)),1-NORMDIST(S815,P815+AJUSTE,SIGMA,TRUE)))</f>
        <v/>
      </c>
      <c r="U815" s="34">
        <f>IF($A815="",NA(),1-T815)</f>
        <v/>
      </c>
    </row>
    <row r="816"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3" t="n"/>
      <c r="N816" s="34">
        <f>IF($A816="",NA(),IF(C816&gt;0,D816/C816,0))</f>
        <v/>
      </c>
      <c r="O816" s="34">
        <f>IF($A816="",NA(),IF(E816&gt;0,F816/E816,0))</f>
        <v/>
      </c>
      <c r="P816" s="34">
        <f>IF($A816="",NA(),IF(K816+L816&gt;0,K816/(K816+L816),0.5))</f>
        <v/>
      </c>
      <c r="Q816" s="34">
        <f>IF($A816="",NA(),1-P816)</f>
        <v/>
      </c>
      <c r="R816" s="33">
        <f>IF($A816="",NA(),MAX(0,E816-F816)*IF(G816&gt;0,H816/G816,COMPAREC_PAD)*IF(I816&gt;0,J816/I816,VALIDOS_PAD))</f>
        <v/>
      </c>
      <c r="S816" s="34">
        <f>IF($A816="",NA(),IF(R816&gt;0,0.5-(K816-L816)/(2*R816),0))</f>
        <v/>
      </c>
      <c r="T816" s="34">
        <f>IF($A816="",NA(),IF(R816&lt;=0,IF(K816&gt;L816,1,IF(K816&lt;L816,0,0.5)),1-NORMDIST(S816,P816+AJUSTE,SIGMA,TRUE)))</f>
        <v/>
      </c>
      <c r="U816" s="34">
        <f>IF($A816="",NA(),1-T816)</f>
        <v/>
      </c>
    </row>
    <row r="817">
      <c r="C817" s="33" t="n"/>
      <c r="D817" s="33" t="n"/>
      <c r="E817" s="33" t="n"/>
      <c r="F817" s="33" t="n"/>
      <c r="G817" s="33" t="n"/>
      <c r="H817" s="33" t="n"/>
      <c r="I817" s="33" t="n"/>
      <c r="J817" s="33" t="n"/>
      <c r="K817" s="33" t="n"/>
      <c r="L817" s="33" t="n"/>
      <c r="N817" s="34">
        <f>IF($A817="",NA(),IF(C817&gt;0,D817/C817,0))</f>
        <v/>
      </c>
      <c r="O817" s="34">
        <f>IF($A817="",NA(),IF(E817&gt;0,F817/E817,0))</f>
        <v/>
      </c>
      <c r="P817" s="34">
        <f>IF($A817="",NA(),IF(K817+L817&gt;0,K817/(K817+L817),0.5))</f>
        <v/>
      </c>
      <c r="Q817" s="34">
        <f>IF($A817="",NA(),1-P817)</f>
        <v/>
      </c>
      <c r="R817" s="33">
        <f>IF($A817="",NA(),MAX(0,E817-F817)*IF(G817&gt;0,H817/G817,COMPAREC_PAD)*IF(I817&gt;0,J817/I817,VALIDOS_PAD))</f>
        <v/>
      </c>
      <c r="S817" s="34">
        <f>IF($A817="",NA(),IF(R817&gt;0,0.5-(K817-L817)/(2*R817),0))</f>
        <v/>
      </c>
      <c r="T817" s="34">
        <f>IF($A817="",NA(),IF(R817&lt;=0,IF(K817&gt;L817,1,IF(K817&lt;L817,0,0.5)),1-NORMDIST(S817,P817+AJUSTE,SIGMA,TRUE)))</f>
        <v/>
      </c>
      <c r="U817" s="34">
        <f>IF($A817="",NA(),1-T817)</f>
        <v/>
      </c>
    </row>
    <row r="818"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3" t="n"/>
      <c r="N818" s="34">
        <f>IF($A818="",NA(),IF(C818&gt;0,D818/C818,0))</f>
        <v/>
      </c>
      <c r="O818" s="34">
        <f>IF($A818="",NA(),IF(E818&gt;0,F818/E818,0))</f>
        <v/>
      </c>
      <c r="P818" s="34">
        <f>IF($A818="",NA(),IF(K818+L818&gt;0,K818/(K818+L818),0.5))</f>
        <v/>
      </c>
      <c r="Q818" s="34">
        <f>IF($A818="",NA(),1-P818)</f>
        <v/>
      </c>
      <c r="R818" s="33">
        <f>IF($A818="",NA(),MAX(0,E818-F818)*IF(G818&gt;0,H818/G818,COMPAREC_PAD)*IF(I818&gt;0,J818/I818,VALIDOS_PAD))</f>
        <v/>
      </c>
      <c r="S818" s="34">
        <f>IF($A818="",NA(),IF(R818&gt;0,0.5-(K818-L818)/(2*R818),0))</f>
        <v/>
      </c>
      <c r="T818" s="34">
        <f>IF($A818="",NA(),IF(R818&lt;=0,IF(K818&gt;L818,1,IF(K818&lt;L818,0,0.5)),1-NORMDIST(S818,P818+AJUSTE,SIGMA,TRUE)))</f>
        <v/>
      </c>
      <c r="U818" s="34">
        <f>IF($A818="",NA(),1-T818)</f>
        <v/>
      </c>
    </row>
    <row r="819">
      <c r="C819" s="33" t="n"/>
      <c r="D819" s="33" t="n"/>
      <c r="E819" s="33" t="n"/>
      <c r="F819" s="33" t="n"/>
      <c r="G819" s="33" t="n"/>
      <c r="H819" s="33" t="n"/>
      <c r="I819" s="33" t="n"/>
      <c r="J819" s="33" t="n"/>
      <c r="K819" s="33" t="n"/>
      <c r="L819" s="33" t="n"/>
      <c r="N819" s="34">
        <f>IF($A819="",NA(),IF(C819&gt;0,D819/C819,0))</f>
        <v/>
      </c>
      <c r="O819" s="34">
        <f>IF($A819="",NA(),IF(E819&gt;0,F819/E819,0))</f>
        <v/>
      </c>
      <c r="P819" s="34">
        <f>IF($A819="",NA(),IF(K819+L819&gt;0,K819/(K819+L819),0.5))</f>
        <v/>
      </c>
      <c r="Q819" s="34">
        <f>IF($A819="",NA(),1-P819)</f>
        <v/>
      </c>
      <c r="R819" s="33">
        <f>IF($A819="",NA(),MAX(0,E819-F819)*IF(G819&gt;0,H819/G819,COMPAREC_PAD)*IF(I819&gt;0,J819/I819,VALIDOS_PAD))</f>
        <v/>
      </c>
      <c r="S819" s="34">
        <f>IF($A819="",NA(),IF(R819&gt;0,0.5-(K819-L819)/(2*R819),0))</f>
        <v/>
      </c>
      <c r="T819" s="34">
        <f>IF($A819="",NA(),IF(R819&lt;=0,IF(K819&gt;L819,1,IF(K819&lt;L819,0,0.5)),1-NORMDIST(S819,P819+AJUSTE,SIGMA,TRUE)))</f>
        <v/>
      </c>
      <c r="U819" s="34">
        <f>IF($A819="",NA(),1-T819)</f>
        <v/>
      </c>
    </row>
    <row r="820"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3" t="n"/>
      <c r="N820" s="34">
        <f>IF($A820="",NA(),IF(C820&gt;0,D820/C820,0))</f>
        <v/>
      </c>
      <c r="O820" s="34">
        <f>IF($A820="",NA(),IF(E820&gt;0,F820/E820,0))</f>
        <v/>
      </c>
      <c r="P820" s="34">
        <f>IF($A820="",NA(),IF(K820+L820&gt;0,K820/(K820+L820),0.5))</f>
        <v/>
      </c>
      <c r="Q820" s="34">
        <f>IF($A820="",NA(),1-P820)</f>
        <v/>
      </c>
      <c r="R820" s="33">
        <f>IF($A820="",NA(),MAX(0,E820-F820)*IF(G820&gt;0,H820/G820,COMPAREC_PAD)*IF(I820&gt;0,J820/I820,VALIDOS_PAD))</f>
        <v/>
      </c>
      <c r="S820" s="34">
        <f>IF($A820="",NA(),IF(R820&gt;0,0.5-(K820-L820)/(2*R820),0))</f>
        <v/>
      </c>
      <c r="T820" s="34">
        <f>IF($A820="",NA(),IF(R820&lt;=0,IF(K820&gt;L820,1,IF(K820&lt;L820,0,0.5)),1-NORMDIST(S820,P820+AJUSTE,SIGMA,TRUE)))</f>
        <v/>
      </c>
      <c r="U820" s="34">
        <f>IF($A820="",NA(),1-T820)</f>
        <v/>
      </c>
    </row>
    <row r="821">
      <c r="C821" s="33" t="n"/>
      <c r="D821" s="33" t="n"/>
      <c r="E821" s="33" t="n"/>
      <c r="F821" s="33" t="n"/>
      <c r="G821" s="33" t="n"/>
      <c r="H821" s="33" t="n"/>
      <c r="I821" s="33" t="n"/>
      <c r="J821" s="33" t="n"/>
      <c r="K821" s="33" t="n"/>
      <c r="L821" s="33" t="n"/>
      <c r="N821" s="34">
        <f>IF($A821="",NA(),IF(C821&gt;0,D821/C821,0))</f>
        <v/>
      </c>
      <c r="O821" s="34">
        <f>IF($A821="",NA(),IF(E821&gt;0,F821/E821,0))</f>
        <v/>
      </c>
      <c r="P821" s="34">
        <f>IF($A821="",NA(),IF(K821+L821&gt;0,K821/(K821+L821),0.5))</f>
        <v/>
      </c>
      <c r="Q821" s="34">
        <f>IF($A821="",NA(),1-P821)</f>
        <v/>
      </c>
      <c r="R821" s="33">
        <f>IF($A821="",NA(),MAX(0,E821-F821)*IF(G821&gt;0,H821/G821,COMPAREC_PAD)*IF(I821&gt;0,J821/I821,VALIDOS_PAD))</f>
        <v/>
      </c>
      <c r="S821" s="34">
        <f>IF($A821="",NA(),IF(R821&gt;0,0.5-(K821-L821)/(2*R821),0))</f>
        <v/>
      </c>
      <c r="T821" s="34">
        <f>IF($A821="",NA(),IF(R821&lt;=0,IF(K821&gt;L821,1,IF(K821&lt;L821,0,0.5)),1-NORMDIST(S821,P821+AJUSTE,SIGMA,TRUE)))</f>
        <v/>
      </c>
      <c r="U821" s="34">
        <f>IF($A821="",NA(),1-T821)</f>
        <v/>
      </c>
    </row>
    <row r="822"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3" t="n"/>
      <c r="N822" s="34">
        <f>IF($A822="",NA(),IF(C822&gt;0,D822/C822,0))</f>
        <v/>
      </c>
      <c r="O822" s="34">
        <f>IF($A822="",NA(),IF(E822&gt;0,F822/E822,0))</f>
        <v/>
      </c>
      <c r="P822" s="34">
        <f>IF($A822="",NA(),IF(K822+L822&gt;0,K822/(K822+L822),0.5))</f>
        <v/>
      </c>
      <c r="Q822" s="34">
        <f>IF($A822="",NA(),1-P822)</f>
        <v/>
      </c>
      <c r="R822" s="33">
        <f>IF($A822="",NA(),MAX(0,E822-F822)*IF(G822&gt;0,H822/G822,COMPAREC_PAD)*IF(I822&gt;0,J822/I822,VALIDOS_PAD))</f>
        <v/>
      </c>
      <c r="S822" s="34">
        <f>IF($A822="",NA(),IF(R822&gt;0,0.5-(K822-L822)/(2*R822),0))</f>
        <v/>
      </c>
      <c r="T822" s="34">
        <f>IF($A822="",NA(),IF(R822&lt;=0,IF(K822&gt;L822,1,IF(K822&lt;L822,0,0.5)),1-NORMDIST(S822,P822+AJUSTE,SIGMA,TRUE)))</f>
        <v/>
      </c>
      <c r="U822" s="34">
        <f>IF($A822="",NA(),1-T822)</f>
        <v/>
      </c>
    </row>
    <row r="823">
      <c r="C823" s="33" t="n"/>
      <c r="D823" s="33" t="n"/>
      <c r="E823" s="33" t="n"/>
      <c r="F823" s="33" t="n"/>
      <c r="G823" s="33" t="n"/>
      <c r="H823" s="33" t="n"/>
      <c r="I823" s="33" t="n"/>
      <c r="J823" s="33" t="n"/>
      <c r="K823" s="33" t="n"/>
      <c r="L823" s="33" t="n"/>
      <c r="N823" s="34">
        <f>IF($A823="",NA(),IF(C823&gt;0,D823/C823,0))</f>
        <v/>
      </c>
      <c r="O823" s="34">
        <f>IF($A823="",NA(),IF(E823&gt;0,F823/E823,0))</f>
        <v/>
      </c>
      <c r="P823" s="34">
        <f>IF($A823="",NA(),IF(K823+L823&gt;0,K823/(K823+L823),0.5))</f>
        <v/>
      </c>
      <c r="Q823" s="34">
        <f>IF($A823="",NA(),1-P823)</f>
        <v/>
      </c>
      <c r="R823" s="33">
        <f>IF($A823="",NA(),MAX(0,E823-F823)*IF(G823&gt;0,H823/G823,COMPAREC_PAD)*IF(I823&gt;0,J823/I823,VALIDOS_PAD))</f>
        <v/>
      </c>
      <c r="S823" s="34">
        <f>IF($A823="",NA(),IF(R823&gt;0,0.5-(K823-L823)/(2*R823),0))</f>
        <v/>
      </c>
      <c r="T823" s="34">
        <f>IF($A823="",NA(),IF(R823&lt;=0,IF(K823&gt;L823,1,IF(K823&lt;L823,0,0.5)),1-NORMDIST(S823,P823+AJUSTE,SIGMA,TRUE)))</f>
        <v/>
      </c>
      <c r="U823" s="34">
        <f>IF($A823="",NA(),1-T823)</f>
        <v/>
      </c>
    </row>
    <row r="824"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  <c r="N824" s="34">
        <f>IF($A824="",NA(),IF(C824&gt;0,D824/C824,0))</f>
        <v/>
      </c>
      <c r="O824" s="34">
        <f>IF($A824="",NA(),IF(E824&gt;0,F824/E824,0))</f>
        <v/>
      </c>
      <c r="P824" s="34">
        <f>IF($A824="",NA(),IF(K824+L824&gt;0,K824/(K824+L824),0.5))</f>
        <v/>
      </c>
      <c r="Q824" s="34">
        <f>IF($A824="",NA(),1-P824)</f>
        <v/>
      </c>
      <c r="R824" s="33">
        <f>IF($A824="",NA(),MAX(0,E824-F824)*IF(G824&gt;0,H824/G824,COMPAREC_PAD)*IF(I824&gt;0,J824/I824,VALIDOS_PAD))</f>
        <v/>
      </c>
      <c r="S824" s="34">
        <f>IF($A824="",NA(),IF(R824&gt;0,0.5-(K824-L824)/(2*R824),0))</f>
        <v/>
      </c>
      <c r="T824" s="34">
        <f>IF($A824="",NA(),IF(R824&lt;=0,IF(K824&gt;L824,1,IF(K824&lt;L824,0,0.5)),1-NORMDIST(S824,P824+AJUSTE,SIGMA,TRUE)))</f>
        <v/>
      </c>
      <c r="U824" s="34">
        <f>IF($A824="",NA(),1-T824)</f>
        <v/>
      </c>
    </row>
    <row r="825">
      <c r="C825" s="33" t="n"/>
      <c r="D825" s="33" t="n"/>
      <c r="E825" s="33" t="n"/>
      <c r="F825" s="33" t="n"/>
      <c r="G825" s="33" t="n"/>
      <c r="H825" s="33" t="n"/>
      <c r="I825" s="33" t="n"/>
      <c r="J825" s="33" t="n"/>
      <c r="K825" s="33" t="n"/>
      <c r="L825" s="33" t="n"/>
      <c r="N825" s="34">
        <f>IF($A825="",NA(),IF(C825&gt;0,D825/C825,0))</f>
        <v/>
      </c>
      <c r="O825" s="34">
        <f>IF($A825="",NA(),IF(E825&gt;0,F825/E825,0))</f>
        <v/>
      </c>
      <c r="P825" s="34">
        <f>IF($A825="",NA(),IF(K825+L825&gt;0,K825/(K825+L825),0.5))</f>
        <v/>
      </c>
      <c r="Q825" s="34">
        <f>IF($A825="",NA(),1-P825)</f>
        <v/>
      </c>
      <c r="R825" s="33">
        <f>IF($A825="",NA(),MAX(0,E825-F825)*IF(G825&gt;0,H825/G825,COMPAREC_PAD)*IF(I825&gt;0,J825/I825,VALIDOS_PAD))</f>
        <v/>
      </c>
      <c r="S825" s="34">
        <f>IF($A825="",NA(),IF(R825&gt;0,0.5-(K825-L825)/(2*R825),0))</f>
        <v/>
      </c>
      <c r="T825" s="34">
        <f>IF($A825="",NA(),IF(R825&lt;=0,IF(K825&gt;L825,1,IF(K825&lt;L825,0,0.5)),1-NORMDIST(S825,P825+AJUSTE,SIGMA,TRUE)))</f>
        <v/>
      </c>
      <c r="U825" s="34">
        <f>IF($A825="",NA(),1-T825)</f>
        <v/>
      </c>
    </row>
    <row r="826"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N826" s="34">
        <f>IF($A826="",NA(),IF(C826&gt;0,D826/C826,0))</f>
        <v/>
      </c>
      <c r="O826" s="34">
        <f>IF($A826="",NA(),IF(E826&gt;0,F826/E826,0))</f>
        <v/>
      </c>
      <c r="P826" s="34">
        <f>IF($A826="",NA(),IF(K826+L826&gt;0,K826/(K826+L826),0.5))</f>
        <v/>
      </c>
      <c r="Q826" s="34">
        <f>IF($A826="",NA(),1-P826)</f>
        <v/>
      </c>
      <c r="R826" s="33">
        <f>IF($A826="",NA(),MAX(0,E826-F826)*IF(G826&gt;0,H826/G826,COMPAREC_PAD)*IF(I826&gt;0,J826/I826,VALIDOS_PAD))</f>
        <v/>
      </c>
      <c r="S826" s="34">
        <f>IF($A826="",NA(),IF(R826&gt;0,0.5-(K826-L826)/(2*R826),0))</f>
        <v/>
      </c>
      <c r="T826" s="34">
        <f>IF($A826="",NA(),IF(R826&lt;=0,IF(K826&gt;L826,1,IF(K826&lt;L826,0,0.5)),1-NORMDIST(S826,P826+AJUSTE,SIGMA,TRUE)))</f>
        <v/>
      </c>
      <c r="U826" s="34">
        <f>IF($A826="",NA(),1-T826)</f>
        <v/>
      </c>
    </row>
    <row r="827">
      <c r="C827" s="33" t="n"/>
      <c r="D827" s="33" t="n"/>
      <c r="E827" s="33" t="n"/>
      <c r="F827" s="33" t="n"/>
      <c r="G827" s="33" t="n"/>
      <c r="H827" s="33" t="n"/>
      <c r="I827" s="33" t="n"/>
      <c r="J827" s="33" t="n"/>
      <c r="K827" s="33" t="n"/>
      <c r="L827" s="33" t="n"/>
      <c r="N827" s="34">
        <f>IF($A827="",NA(),IF(C827&gt;0,D827/C827,0))</f>
        <v/>
      </c>
      <c r="O827" s="34">
        <f>IF($A827="",NA(),IF(E827&gt;0,F827/E827,0))</f>
        <v/>
      </c>
      <c r="P827" s="34">
        <f>IF($A827="",NA(),IF(K827+L827&gt;0,K827/(K827+L827),0.5))</f>
        <v/>
      </c>
      <c r="Q827" s="34">
        <f>IF($A827="",NA(),1-P827)</f>
        <v/>
      </c>
      <c r="R827" s="33">
        <f>IF($A827="",NA(),MAX(0,E827-F827)*IF(G827&gt;0,H827/G827,COMPAREC_PAD)*IF(I827&gt;0,J827/I827,VALIDOS_PAD))</f>
        <v/>
      </c>
      <c r="S827" s="34">
        <f>IF($A827="",NA(),IF(R827&gt;0,0.5-(K827-L827)/(2*R827),0))</f>
        <v/>
      </c>
      <c r="T827" s="34">
        <f>IF($A827="",NA(),IF(R827&lt;=0,IF(K827&gt;L827,1,IF(K827&lt;L827,0,0.5)),1-NORMDIST(S827,P827+AJUSTE,SIGMA,TRUE)))</f>
        <v/>
      </c>
      <c r="U827" s="34">
        <f>IF($A827="",NA(),1-T827)</f>
        <v/>
      </c>
    </row>
    <row r="828"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  <c r="N828" s="34">
        <f>IF($A828="",NA(),IF(C828&gt;0,D828/C828,0))</f>
        <v/>
      </c>
      <c r="O828" s="34">
        <f>IF($A828="",NA(),IF(E828&gt;0,F828/E828,0))</f>
        <v/>
      </c>
      <c r="P828" s="34">
        <f>IF($A828="",NA(),IF(K828+L828&gt;0,K828/(K828+L828),0.5))</f>
        <v/>
      </c>
      <c r="Q828" s="34">
        <f>IF($A828="",NA(),1-P828)</f>
        <v/>
      </c>
      <c r="R828" s="33">
        <f>IF($A828="",NA(),MAX(0,E828-F828)*IF(G828&gt;0,H828/G828,COMPAREC_PAD)*IF(I828&gt;0,J828/I828,VALIDOS_PAD))</f>
        <v/>
      </c>
      <c r="S828" s="34">
        <f>IF($A828="",NA(),IF(R828&gt;0,0.5-(K828-L828)/(2*R828),0))</f>
        <v/>
      </c>
      <c r="T828" s="34">
        <f>IF($A828="",NA(),IF(R828&lt;=0,IF(K828&gt;L828,1,IF(K828&lt;L828,0,0.5)),1-NORMDIST(S828,P828+AJUSTE,SIGMA,TRUE)))</f>
        <v/>
      </c>
      <c r="U828" s="34">
        <f>IF($A828="",NA(),1-T828)</f>
        <v/>
      </c>
    </row>
    <row r="829">
      <c r="C829" s="33" t="n"/>
      <c r="D829" s="33" t="n"/>
      <c r="E829" s="33" t="n"/>
      <c r="F829" s="33" t="n"/>
      <c r="G829" s="33" t="n"/>
      <c r="H829" s="33" t="n"/>
      <c r="I829" s="33" t="n"/>
      <c r="J829" s="33" t="n"/>
      <c r="K829" s="33" t="n"/>
      <c r="L829" s="33" t="n"/>
      <c r="N829" s="34">
        <f>IF($A829="",NA(),IF(C829&gt;0,D829/C829,0))</f>
        <v/>
      </c>
      <c r="O829" s="34">
        <f>IF($A829="",NA(),IF(E829&gt;0,F829/E829,0))</f>
        <v/>
      </c>
      <c r="P829" s="34">
        <f>IF($A829="",NA(),IF(K829+L829&gt;0,K829/(K829+L829),0.5))</f>
        <v/>
      </c>
      <c r="Q829" s="34">
        <f>IF($A829="",NA(),1-P829)</f>
        <v/>
      </c>
      <c r="R829" s="33">
        <f>IF($A829="",NA(),MAX(0,E829-F829)*IF(G829&gt;0,H829/G829,COMPAREC_PAD)*IF(I829&gt;0,J829/I829,VALIDOS_PAD))</f>
        <v/>
      </c>
      <c r="S829" s="34">
        <f>IF($A829="",NA(),IF(R829&gt;0,0.5-(K829-L829)/(2*R829),0))</f>
        <v/>
      </c>
      <c r="T829" s="34">
        <f>IF($A829="",NA(),IF(R829&lt;=0,IF(K829&gt;L829,1,IF(K829&lt;L829,0,0.5)),1-NORMDIST(S829,P829+AJUSTE,SIGMA,TRUE)))</f>
        <v/>
      </c>
      <c r="U829" s="34">
        <f>IF($A829="",NA(),1-T829)</f>
        <v/>
      </c>
    </row>
    <row r="830"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3" t="n"/>
      <c r="N830" s="34">
        <f>IF($A830="",NA(),IF(C830&gt;0,D830/C830,0))</f>
        <v/>
      </c>
      <c r="O830" s="34">
        <f>IF($A830="",NA(),IF(E830&gt;0,F830/E830,0))</f>
        <v/>
      </c>
      <c r="P830" s="34">
        <f>IF($A830="",NA(),IF(K830+L830&gt;0,K830/(K830+L830),0.5))</f>
        <v/>
      </c>
      <c r="Q830" s="34">
        <f>IF($A830="",NA(),1-P830)</f>
        <v/>
      </c>
      <c r="R830" s="33">
        <f>IF($A830="",NA(),MAX(0,E830-F830)*IF(G830&gt;0,H830/G830,COMPAREC_PAD)*IF(I830&gt;0,J830/I830,VALIDOS_PAD))</f>
        <v/>
      </c>
      <c r="S830" s="34">
        <f>IF($A830="",NA(),IF(R830&gt;0,0.5-(K830-L830)/(2*R830),0))</f>
        <v/>
      </c>
      <c r="T830" s="34">
        <f>IF($A830="",NA(),IF(R830&lt;=0,IF(K830&gt;L830,1,IF(K830&lt;L830,0,0.5)),1-NORMDIST(S830,P830+AJUSTE,SIGMA,TRUE)))</f>
        <v/>
      </c>
      <c r="U830" s="34">
        <f>IF($A830="",NA(),1-T830)</f>
        <v/>
      </c>
    </row>
    <row r="831">
      <c r="C831" s="33" t="n"/>
      <c r="D831" s="33" t="n"/>
      <c r="E831" s="33" t="n"/>
      <c r="F831" s="33" t="n"/>
      <c r="G831" s="33" t="n"/>
      <c r="H831" s="33" t="n"/>
      <c r="I831" s="33" t="n"/>
      <c r="J831" s="33" t="n"/>
      <c r="K831" s="33" t="n"/>
      <c r="L831" s="33" t="n"/>
      <c r="N831" s="34">
        <f>IF($A831="",NA(),IF(C831&gt;0,D831/C831,0))</f>
        <v/>
      </c>
      <c r="O831" s="34">
        <f>IF($A831="",NA(),IF(E831&gt;0,F831/E831,0))</f>
        <v/>
      </c>
      <c r="P831" s="34">
        <f>IF($A831="",NA(),IF(K831+L831&gt;0,K831/(K831+L831),0.5))</f>
        <v/>
      </c>
      <c r="Q831" s="34">
        <f>IF($A831="",NA(),1-P831)</f>
        <v/>
      </c>
      <c r="R831" s="33">
        <f>IF($A831="",NA(),MAX(0,E831-F831)*IF(G831&gt;0,H831/G831,COMPAREC_PAD)*IF(I831&gt;0,J831/I831,VALIDOS_PAD))</f>
        <v/>
      </c>
      <c r="S831" s="34">
        <f>IF($A831="",NA(),IF(R831&gt;0,0.5-(K831-L831)/(2*R831),0))</f>
        <v/>
      </c>
      <c r="T831" s="34">
        <f>IF($A831="",NA(),IF(R831&lt;=0,IF(K831&gt;L831,1,IF(K831&lt;L831,0,0.5)),1-NORMDIST(S831,P831+AJUSTE,SIGMA,TRUE)))</f>
        <v/>
      </c>
      <c r="U831" s="34">
        <f>IF($A831="",NA(),1-T831)</f>
        <v/>
      </c>
    </row>
    <row r="832"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3" t="n"/>
      <c r="N832" s="34">
        <f>IF($A832="",NA(),IF(C832&gt;0,D832/C832,0))</f>
        <v/>
      </c>
      <c r="O832" s="34">
        <f>IF($A832="",NA(),IF(E832&gt;0,F832/E832,0))</f>
        <v/>
      </c>
      <c r="P832" s="34">
        <f>IF($A832="",NA(),IF(K832+L832&gt;0,K832/(K832+L832),0.5))</f>
        <v/>
      </c>
      <c r="Q832" s="34">
        <f>IF($A832="",NA(),1-P832)</f>
        <v/>
      </c>
      <c r="R832" s="33">
        <f>IF($A832="",NA(),MAX(0,E832-F832)*IF(G832&gt;0,H832/G832,COMPAREC_PAD)*IF(I832&gt;0,J832/I832,VALIDOS_PAD))</f>
        <v/>
      </c>
      <c r="S832" s="34">
        <f>IF($A832="",NA(),IF(R832&gt;0,0.5-(K832-L832)/(2*R832),0))</f>
        <v/>
      </c>
      <c r="T832" s="34">
        <f>IF($A832="",NA(),IF(R832&lt;=0,IF(K832&gt;L832,1,IF(K832&lt;L832,0,0.5)),1-NORMDIST(S832,P832+AJUSTE,SIGMA,TRUE)))</f>
        <v/>
      </c>
      <c r="U832" s="34">
        <f>IF($A832="",NA(),1-T832)</f>
        <v/>
      </c>
    </row>
    <row r="833">
      <c r="C833" s="33" t="n"/>
      <c r="D833" s="33" t="n"/>
      <c r="E833" s="33" t="n"/>
      <c r="F833" s="33" t="n"/>
      <c r="G833" s="33" t="n"/>
      <c r="H833" s="33" t="n"/>
      <c r="I833" s="33" t="n"/>
      <c r="J833" s="33" t="n"/>
      <c r="K833" s="33" t="n"/>
      <c r="L833" s="33" t="n"/>
      <c r="N833" s="34">
        <f>IF($A833="",NA(),IF(C833&gt;0,D833/C833,0))</f>
        <v/>
      </c>
      <c r="O833" s="34">
        <f>IF($A833="",NA(),IF(E833&gt;0,F833/E833,0))</f>
        <v/>
      </c>
      <c r="P833" s="34">
        <f>IF($A833="",NA(),IF(K833+L833&gt;0,K833/(K833+L833),0.5))</f>
        <v/>
      </c>
      <c r="Q833" s="34">
        <f>IF($A833="",NA(),1-P833)</f>
        <v/>
      </c>
      <c r="R833" s="33">
        <f>IF($A833="",NA(),MAX(0,E833-F833)*IF(G833&gt;0,H833/G833,COMPAREC_PAD)*IF(I833&gt;0,J833/I833,VALIDOS_PAD))</f>
        <v/>
      </c>
      <c r="S833" s="34">
        <f>IF($A833="",NA(),IF(R833&gt;0,0.5-(K833-L833)/(2*R833),0))</f>
        <v/>
      </c>
      <c r="T833" s="34">
        <f>IF($A833="",NA(),IF(R833&lt;=0,IF(K833&gt;L833,1,IF(K833&lt;L833,0,0.5)),1-NORMDIST(S833,P833+AJUSTE,SIGMA,TRUE)))</f>
        <v/>
      </c>
      <c r="U833" s="34">
        <f>IF($A833="",NA(),1-T833)</f>
        <v/>
      </c>
    </row>
    <row r="834"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3" t="n"/>
      <c r="N834" s="34">
        <f>IF($A834="",NA(),IF(C834&gt;0,D834/C834,0))</f>
        <v/>
      </c>
      <c r="O834" s="34">
        <f>IF($A834="",NA(),IF(E834&gt;0,F834/E834,0))</f>
        <v/>
      </c>
      <c r="P834" s="34">
        <f>IF($A834="",NA(),IF(K834+L834&gt;0,K834/(K834+L834),0.5))</f>
        <v/>
      </c>
      <c r="Q834" s="34">
        <f>IF($A834="",NA(),1-P834)</f>
        <v/>
      </c>
      <c r="R834" s="33">
        <f>IF($A834="",NA(),MAX(0,E834-F834)*IF(G834&gt;0,H834/G834,COMPAREC_PAD)*IF(I834&gt;0,J834/I834,VALIDOS_PAD))</f>
        <v/>
      </c>
      <c r="S834" s="34">
        <f>IF($A834="",NA(),IF(R834&gt;0,0.5-(K834-L834)/(2*R834),0))</f>
        <v/>
      </c>
      <c r="T834" s="34">
        <f>IF($A834="",NA(),IF(R834&lt;=0,IF(K834&gt;L834,1,IF(K834&lt;L834,0,0.5)),1-NORMDIST(S834,P834+AJUSTE,SIGMA,TRUE)))</f>
        <v/>
      </c>
      <c r="U834" s="34">
        <f>IF($A834="",NA(),1-T834)</f>
        <v/>
      </c>
    </row>
    <row r="835"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3" t="n"/>
      <c r="N835" s="34">
        <f>IF($A835="",NA(),IF(C835&gt;0,D835/C835,0))</f>
        <v/>
      </c>
      <c r="O835" s="34">
        <f>IF($A835="",NA(),IF(E835&gt;0,F835/E835,0))</f>
        <v/>
      </c>
      <c r="P835" s="34">
        <f>IF($A835="",NA(),IF(K835+L835&gt;0,K835/(K835+L835),0.5))</f>
        <v/>
      </c>
      <c r="Q835" s="34">
        <f>IF($A835="",NA(),1-P835)</f>
        <v/>
      </c>
      <c r="R835" s="33">
        <f>IF($A835="",NA(),MAX(0,E835-F835)*IF(G835&gt;0,H835/G835,COMPAREC_PAD)*IF(I835&gt;0,J835/I835,VALIDOS_PAD))</f>
        <v/>
      </c>
      <c r="S835" s="34">
        <f>IF($A835="",NA(),IF(R835&gt;0,0.5-(K835-L835)/(2*R835),0))</f>
        <v/>
      </c>
      <c r="T835" s="34">
        <f>IF($A835="",NA(),IF(R835&lt;=0,IF(K835&gt;L835,1,IF(K835&lt;L835,0,0.5)),1-NORMDIST(S835,P835+AJUSTE,SIGMA,TRUE)))</f>
        <v/>
      </c>
      <c r="U835" s="34">
        <f>IF($A835="",NA(),1-T835)</f>
        <v/>
      </c>
    </row>
    <row r="836"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3" t="n"/>
      <c r="N836" s="34">
        <f>IF($A836="",NA(),IF(C836&gt;0,D836/C836,0))</f>
        <v/>
      </c>
      <c r="O836" s="34">
        <f>IF($A836="",NA(),IF(E836&gt;0,F836/E836,0))</f>
        <v/>
      </c>
      <c r="P836" s="34">
        <f>IF($A836="",NA(),IF(K836+L836&gt;0,K836/(K836+L836),0.5))</f>
        <v/>
      </c>
      <c r="Q836" s="34">
        <f>IF($A836="",NA(),1-P836)</f>
        <v/>
      </c>
      <c r="R836" s="33">
        <f>IF($A836="",NA(),MAX(0,E836-F836)*IF(G836&gt;0,H836/G836,COMPAREC_PAD)*IF(I836&gt;0,J836/I836,VALIDOS_PAD))</f>
        <v/>
      </c>
      <c r="S836" s="34">
        <f>IF($A836="",NA(),IF(R836&gt;0,0.5-(K836-L836)/(2*R836),0))</f>
        <v/>
      </c>
      <c r="T836" s="34">
        <f>IF($A836="",NA(),IF(R836&lt;=0,IF(K836&gt;L836,1,IF(K836&lt;L836,0,0.5)),1-NORMDIST(S836,P836+AJUSTE,SIGMA,TRUE)))</f>
        <v/>
      </c>
      <c r="U836" s="34">
        <f>IF($A836="",NA(),1-T836)</f>
        <v/>
      </c>
    </row>
    <row r="837">
      <c r="C837" s="33" t="n"/>
      <c r="D837" s="33" t="n"/>
      <c r="E837" s="33" t="n"/>
      <c r="F837" s="33" t="n"/>
      <c r="G837" s="33" t="n"/>
      <c r="H837" s="33" t="n"/>
      <c r="I837" s="33" t="n"/>
      <c r="J837" s="33" t="n"/>
      <c r="K837" s="33" t="n"/>
      <c r="L837" s="33" t="n"/>
      <c r="N837" s="34">
        <f>IF($A837="",NA(),IF(C837&gt;0,D837/C837,0))</f>
        <v/>
      </c>
      <c r="O837" s="34">
        <f>IF($A837="",NA(),IF(E837&gt;0,F837/E837,0))</f>
        <v/>
      </c>
      <c r="P837" s="34">
        <f>IF($A837="",NA(),IF(K837+L837&gt;0,K837/(K837+L837),0.5))</f>
        <v/>
      </c>
      <c r="Q837" s="34">
        <f>IF($A837="",NA(),1-P837)</f>
        <v/>
      </c>
      <c r="R837" s="33">
        <f>IF($A837="",NA(),MAX(0,E837-F837)*IF(G837&gt;0,H837/G837,COMPAREC_PAD)*IF(I837&gt;0,J837/I837,VALIDOS_PAD))</f>
        <v/>
      </c>
      <c r="S837" s="34">
        <f>IF($A837="",NA(),IF(R837&gt;0,0.5-(K837-L837)/(2*R837),0))</f>
        <v/>
      </c>
      <c r="T837" s="34">
        <f>IF($A837="",NA(),IF(R837&lt;=0,IF(K837&gt;L837,1,IF(K837&lt;L837,0,0.5)),1-NORMDIST(S837,P837+AJUSTE,SIGMA,TRUE)))</f>
        <v/>
      </c>
      <c r="U837" s="34">
        <f>IF($A837="",NA(),1-T837)</f>
        <v/>
      </c>
    </row>
    <row r="838"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3" t="n"/>
      <c r="N838" s="34">
        <f>IF($A838="",NA(),IF(C838&gt;0,D838/C838,0))</f>
        <v/>
      </c>
      <c r="O838" s="34">
        <f>IF($A838="",NA(),IF(E838&gt;0,F838/E838,0))</f>
        <v/>
      </c>
      <c r="P838" s="34">
        <f>IF($A838="",NA(),IF(K838+L838&gt;0,K838/(K838+L838),0.5))</f>
        <v/>
      </c>
      <c r="Q838" s="34">
        <f>IF($A838="",NA(),1-P838)</f>
        <v/>
      </c>
      <c r="R838" s="33">
        <f>IF($A838="",NA(),MAX(0,E838-F838)*IF(G838&gt;0,H838/G838,COMPAREC_PAD)*IF(I838&gt;0,J838/I838,VALIDOS_PAD))</f>
        <v/>
      </c>
      <c r="S838" s="34">
        <f>IF($A838="",NA(),IF(R838&gt;0,0.5-(K838-L838)/(2*R838),0))</f>
        <v/>
      </c>
      <c r="T838" s="34">
        <f>IF($A838="",NA(),IF(R838&lt;=0,IF(K838&gt;L838,1,IF(K838&lt;L838,0,0.5)),1-NORMDIST(S838,P838+AJUSTE,SIGMA,TRUE)))</f>
        <v/>
      </c>
      <c r="U838" s="34">
        <f>IF($A838="",NA(),1-T838)</f>
        <v/>
      </c>
    </row>
    <row r="839">
      <c r="C839" s="33" t="n"/>
      <c r="D839" s="33" t="n"/>
      <c r="E839" s="33" t="n"/>
      <c r="F839" s="33" t="n"/>
      <c r="G839" s="33" t="n"/>
      <c r="H839" s="33" t="n"/>
      <c r="I839" s="33" t="n"/>
      <c r="J839" s="33" t="n"/>
      <c r="K839" s="33" t="n"/>
      <c r="L839" s="33" t="n"/>
      <c r="N839" s="34">
        <f>IF($A839="",NA(),IF(C839&gt;0,D839/C839,0))</f>
        <v/>
      </c>
      <c r="O839" s="34">
        <f>IF($A839="",NA(),IF(E839&gt;0,F839/E839,0))</f>
        <v/>
      </c>
      <c r="P839" s="34">
        <f>IF($A839="",NA(),IF(K839+L839&gt;0,K839/(K839+L839),0.5))</f>
        <v/>
      </c>
      <c r="Q839" s="34">
        <f>IF($A839="",NA(),1-P839)</f>
        <v/>
      </c>
      <c r="R839" s="33">
        <f>IF($A839="",NA(),MAX(0,E839-F839)*IF(G839&gt;0,H839/G839,COMPAREC_PAD)*IF(I839&gt;0,J839/I839,VALIDOS_PAD))</f>
        <v/>
      </c>
      <c r="S839" s="34">
        <f>IF($A839="",NA(),IF(R839&gt;0,0.5-(K839-L839)/(2*R839),0))</f>
        <v/>
      </c>
      <c r="T839" s="34">
        <f>IF($A839="",NA(),IF(R839&lt;=0,IF(K839&gt;L839,1,IF(K839&lt;L839,0,0.5)),1-NORMDIST(S839,P839+AJUSTE,SIGMA,TRUE)))</f>
        <v/>
      </c>
      <c r="U839" s="34">
        <f>IF($A839="",NA(),1-T839)</f>
        <v/>
      </c>
    </row>
    <row r="840"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3" t="n"/>
      <c r="N840" s="34">
        <f>IF($A840="",NA(),IF(C840&gt;0,D840/C840,0))</f>
        <v/>
      </c>
      <c r="O840" s="34">
        <f>IF($A840="",NA(),IF(E840&gt;0,F840/E840,0))</f>
        <v/>
      </c>
      <c r="P840" s="34">
        <f>IF($A840="",NA(),IF(K840+L840&gt;0,K840/(K840+L840),0.5))</f>
        <v/>
      </c>
      <c r="Q840" s="34">
        <f>IF($A840="",NA(),1-P840)</f>
        <v/>
      </c>
      <c r="R840" s="33">
        <f>IF($A840="",NA(),MAX(0,E840-F840)*IF(G840&gt;0,H840/G840,COMPAREC_PAD)*IF(I840&gt;0,J840/I840,VALIDOS_PAD))</f>
        <v/>
      </c>
      <c r="S840" s="34">
        <f>IF($A840="",NA(),IF(R840&gt;0,0.5-(K840-L840)/(2*R840),0))</f>
        <v/>
      </c>
      <c r="T840" s="34">
        <f>IF($A840="",NA(),IF(R840&lt;=0,IF(K840&gt;L840,1,IF(K840&lt;L840,0,0.5)),1-NORMDIST(S840,P840+AJUSTE,SIGMA,TRUE)))</f>
        <v/>
      </c>
      <c r="U840" s="34">
        <f>IF($A840="",NA(),1-T840)</f>
        <v/>
      </c>
    </row>
    <row r="841">
      <c r="C841" s="33" t="n"/>
      <c r="D841" s="33" t="n"/>
      <c r="E841" s="33" t="n"/>
      <c r="F841" s="33" t="n"/>
      <c r="G841" s="33" t="n"/>
      <c r="H841" s="33" t="n"/>
      <c r="I841" s="33" t="n"/>
      <c r="J841" s="33" t="n"/>
      <c r="K841" s="33" t="n"/>
      <c r="L841" s="33" t="n"/>
      <c r="N841" s="34">
        <f>IF($A841="",NA(),IF(C841&gt;0,D841/C841,0))</f>
        <v/>
      </c>
      <c r="O841" s="34">
        <f>IF($A841="",NA(),IF(E841&gt;0,F841/E841,0))</f>
        <v/>
      </c>
      <c r="P841" s="34">
        <f>IF($A841="",NA(),IF(K841+L841&gt;0,K841/(K841+L841),0.5))</f>
        <v/>
      </c>
      <c r="Q841" s="34">
        <f>IF($A841="",NA(),1-P841)</f>
        <v/>
      </c>
      <c r="R841" s="33">
        <f>IF($A841="",NA(),MAX(0,E841-F841)*IF(G841&gt;0,H841/G841,COMPAREC_PAD)*IF(I841&gt;0,J841/I841,VALIDOS_PAD))</f>
        <v/>
      </c>
      <c r="S841" s="34">
        <f>IF($A841="",NA(),IF(R841&gt;0,0.5-(K841-L841)/(2*R841),0))</f>
        <v/>
      </c>
      <c r="T841" s="34">
        <f>IF($A841="",NA(),IF(R841&lt;=0,IF(K841&gt;L841,1,IF(K841&lt;L841,0,0.5)),1-NORMDIST(S841,P841+AJUSTE,SIGMA,TRUE)))</f>
        <v/>
      </c>
      <c r="U841" s="34">
        <f>IF($A841="",NA(),1-T841)</f>
        <v/>
      </c>
    </row>
    <row r="842"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3" t="n"/>
      <c r="N842" s="34">
        <f>IF($A842="",NA(),IF(C842&gt;0,D842/C842,0))</f>
        <v/>
      </c>
      <c r="O842" s="34">
        <f>IF($A842="",NA(),IF(E842&gt;0,F842/E842,0))</f>
        <v/>
      </c>
      <c r="P842" s="34">
        <f>IF($A842="",NA(),IF(K842+L842&gt;0,K842/(K842+L842),0.5))</f>
        <v/>
      </c>
      <c r="Q842" s="34">
        <f>IF($A842="",NA(),1-P842)</f>
        <v/>
      </c>
      <c r="R842" s="33">
        <f>IF($A842="",NA(),MAX(0,E842-F842)*IF(G842&gt;0,H842/G842,COMPAREC_PAD)*IF(I842&gt;0,J842/I842,VALIDOS_PAD))</f>
        <v/>
      </c>
      <c r="S842" s="34">
        <f>IF($A842="",NA(),IF(R842&gt;0,0.5-(K842-L842)/(2*R842),0))</f>
        <v/>
      </c>
      <c r="T842" s="34">
        <f>IF($A842="",NA(),IF(R842&lt;=0,IF(K842&gt;L842,1,IF(K842&lt;L842,0,0.5)),1-NORMDIST(S842,P842+AJUSTE,SIGMA,TRUE)))</f>
        <v/>
      </c>
      <c r="U842" s="34">
        <f>IF($A842="",NA(),1-T842)</f>
        <v/>
      </c>
    </row>
    <row r="843">
      <c r="C843" s="33" t="n"/>
      <c r="D843" s="33" t="n"/>
      <c r="E843" s="33" t="n"/>
      <c r="F843" s="33" t="n"/>
      <c r="G843" s="33" t="n"/>
      <c r="H843" s="33" t="n"/>
      <c r="I843" s="33" t="n"/>
      <c r="J843" s="33" t="n"/>
      <c r="K843" s="33" t="n"/>
      <c r="L843" s="33" t="n"/>
      <c r="N843" s="34">
        <f>IF($A843="",NA(),IF(C843&gt;0,D843/C843,0))</f>
        <v/>
      </c>
      <c r="O843" s="34">
        <f>IF($A843="",NA(),IF(E843&gt;0,F843/E843,0))</f>
        <v/>
      </c>
      <c r="P843" s="34">
        <f>IF($A843="",NA(),IF(K843+L843&gt;0,K843/(K843+L843),0.5))</f>
        <v/>
      </c>
      <c r="Q843" s="34">
        <f>IF($A843="",NA(),1-P843)</f>
        <v/>
      </c>
      <c r="R843" s="33">
        <f>IF($A843="",NA(),MAX(0,E843-F843)*IF(G843&gt;0,H843/G843,COMPAREC_PAD)*IF(I843&gt;0,J843/I843,VALIDOS_PAD))</f>
        <v/>
      </c>
      <c r="S843" s="34">
        <f>IF($A843="",NA(),IF(R843&gt;0,0.5-(K843-L843)/(2*R843),0))</f>
        <v/>
      </c>
      <c r="T843" s="34">
        <f>IF($A843="",NA(),IF(R843&lt;=0,IF(K843&gt;L843,1,IF(K843&lt;L843,0,0.5)),1-NORMDIST(S843,P843+AJUSTE,SIGMA,TRUE)))</f>
        <v/>
      </c>
      <c r="U843" s="34">
        <f>IF($A843="",NA(),1-T843)</f>
        <v/>
      </c>
    </row>
    <row r="844"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3" t="n"/>
      <c r="N844" s="34">
        <f>IF($A844="",NA(),IF(C844&gt;0,D844/C844,0))</f>
        <v/>
      </c>
      <c r="O844" s="34">
        <f>IF($A844="",NA(),IF(E844&gt;0,F844/E844,0))</f>
        <v/>
      </c>
      <c r="P844" s="34">
        <f>IF($A844="",NA(),IF(K844+L844&gt;0,K844/(K844+L844),0.5))</f>
        <v/>
      </c>
      <c r="Q844" s="34">
        <f>IF($A844="",NA(),1-P844)</f>
        <v/>
      </c>
      <c r="R844" s="33">
        <f>IF($A844="",NA(),MAX(0,E844-F844)*IF(G844&gt;0,H844/G844,COMPAREC_PAD)*IF(I844&gt;0,J844/I844,VALIDOS_PAD))</f>
        <v/>
      </c>
      <c r="S844" s="34">
        <f>IF($A844="",NA(),IF(R844&gt;0,0.5-(K844-L844)/(2*R844),0))</f>
        <v/>
      </c>
      <c r="T844" s="34">
        <f>IF($A844="",NA(),IF(R844&lt;=0,IF(K844&gt;L844,1,IF(K844&lt;L844,0,0.5)),1-NORMDIST(S844,P844+AJUSTE,SIGMA,TRUE)))</f>
        <v/>
      </c>
      <c r="U844" s="34">
        <f>IF($A844="",NA(),1-T844)</f>
        <v/>
      </c>
    </row>
    <row r="845">
      <c r="C845" s="33" t="n"/>
      <c r="D845" s="33" t="n"/>
      <c r="E845" s="33" t="n"/>
      <c r="F845" s="33" t="n"/>
      <c r="G845" s="33" t="n"/>
      <c r="H845" s="33" t="n"/>
      <c r="I845" s="33" t="n"/>
      <c r="J845" s="33" t="n"/>
      <c r="K845" s="33" t="n"/>
      <c r="L845" s="33" t="n"/>
      <c r="N845" s="34">
        <f>IF($A845="",NA(),IF(C845&gt;0,D845/C845,0))</f>
        <v/>
      </c>
      <c r="O845" s="34">
        <f>IF($A845="",NA(),IF(E845&gt;0,F845/E845,0))</f>
        <v/>
      </c>
      <c r="P845" s="34">
        <f>IF($A845="",NA(),IF(K845+L845&gt;0,K845/(K845+L845),0.5))</f>
        <v/>
      </c>
      <c r="Q845" s="34">
        <f>IF($A845="",NA(),1-P845)</f>
        <v/>
      </c>
      <c r="R845" s="33">
        <f>IF($A845="",NA(),MAX(0,E845-F845)*IF(G845&gt;0,H845/G845,COMPAREC_PAD)*IF(I845&gt;0,J845/I845,VALIDOS_PAD))</f>
        <v/>
      </c>
      <c r="S845" s="34">
        <f>IF($A845="",NA(),IF(R845&gt;0,0.5-(K845-L845)/(2*R845),0))</f>
        <v/>
      </c>
      <c r="T845" s="34">
        <f>IF($A845="",NA(),IF(R845&lt;=0,IF(K845&gt;L845,1,IF(K845&lt;L845,0,0.5)),1-NORMDIST(S845,P845+AJUSTE,SIGMA,TRUE)))</f>
        <v/>
      </c>
      <c r="U845" s="34">
        <f>IF($A845="",NA(),1-T845)</f>
        <v/>
      </c>
    </row>
    <row r="846"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3" t="n"/>
      <c r="N846" s="34">
        <f>IF($A846="",NA(),IF(C846&gt;0,D846/C846,0))</f>
        <v/>
      </c>
      <c r="O846" s="34">
        <f>IF($A846="",NA(),IF(E846&gt;0,F846/E846,0))</f>
        <v/>
      </c>
      <c r="P846" s="34">
        <f>IF($A846="",NA(),IF(K846+L846&gt;0,K846/(K846+L846),0.5))</f>
        <v/>
      </c>
      <c r="Q846" s="34">
        <f>IF($A846="",NA(),1-P846)</f>
        <v/>
      </c>
      <c r="R846" s="33">
        <f>IF($A846="",NA(),MAX(0,E846-F846)*IF(G846&gt;0,H846/G846,COMPAREC_PAD)*IF(I846&gt;0,J846/I846,VALIDOS_PAD))</f>
        <v/>
      </c>
      <c r="S846" s="34">
        <f>IF($A846="",NA(),IF(R846&gt;0,0.5-(K846-L846)/(2*R846),0))</f>
        <v/>
      </c>
      <c r="T846" s="34">
        <f>IF($A846="",NA(),IF(R846&lt;=0,IF(K846&gt;L846,1,IF(K846&lt;L846,0,0.5)),1-NORMDIST(S846,P846+AJUSTE,SIGMA,TRUE)))</f>
        <v/>
      </c>
      <c r="U846" s="34">
        <f>IF($A846="",NA(),1-T846)</f>
        <v/>
      </c>
    </row>
    <row r="847"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3" t="n"/>
      <c r="N847" s="34">
        <f>IF($A847="",NA(),IF(C847&gt;0,D847/C847,0))</f>
        <v/>
      </c>
      <c r="O847" s="34">
        <f>IF($A847="",NA(),IF(E847&gt;0,F847/E847,0))</f>
        <v/>
      </c>
      <c r="P847" s="34">
        <f>IF($A847="",NA(),IF(K847+L847&gt;0,K847/(K847+L847),0.5))</f>
        <v/>
      </c>
      <c r="Q847" s="34">
        <f>IF($A847="",NA(),1-P847)</f>
        <v/>
      </c>
      <c r="R847" s="33">
        <f>IF($A847="",NA(),MAX(0,E847-F847)*IF(G847&gt;0,H847/G847,COMPAREC_PAD)*IF(I847&gt;0,J847/I847,VALIDOS_PAD))</f>
        <v/>
      </c>
      <c r="S847" s="34">
        <f>IF($A847="",NA(),IF(R847&gt;0,0.5-(K847-L847)/(2*R847),0))</f>
        <v/>
      </c>
      <c r="T847" s="34">
        <f>IF($A847="",NA(),IF(R847&lt;=0,IF(K847&gt;L847,1,IF(K847&lt;L847,0,0.5)),1-NORMDIST(S847,P847+AJUSTE,SIGMA,TRUE)))</f>
        <v/>
      </c>
      <c r="U847" s="34">
        <f>IF($A847="",NA(),1-T847)</f>
        <v/>
      </c>
    </row>
    <row r="848"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  <c r="N848" s="34">
        <f>IF($A848="",NA(),IF(C848&gt;0,D848/C848,0))</f>
        <v/>
      </c>
      <c r="O848" s="34">
        <f>IF($A848="",NA(),IF(E848&gt;0,F848/E848,0))</f>
        <v/>
      </c>
      <c r="P848" s="34">
        <f>IF($A848="",NA(),IF(K848+L848&gt;0,K848/(K848+L848),0.5))</f>
        <v/>
      </c>
      <c r="Q848" s="34">
        <f>IF($A848="",NA(),1-P848)</f>
        <v/>
      </c>
      <c r="R848" s="33">
        <f>IF($A848="",NA(),MAX(0,E848-F848)*IF(G848&gt;0,H848/G848,COMPAREC_PAD)*IF(I848&gt;0,J848/I848,VALIDOS_PAD))</f>
        <v/>
      </c>
      <c r="S848" s="34">
        <f>IF($A848="",NA(),IF(R848&gt;0,0.5-(K848-L848)/(2*R848),0))</f>
        <v/>
      </c>
      <c r="T848" s="34">
        <f>IF($A848="",NA(),IF(R848&lt;=0,IF(K848&gt;L848,1,IF(K848&lt;L848,0,0.5)),1-NORMDIST(S848,P848+AJUSTE,SIGMA,TRUE)))</f>
        <v/>
      </c>
      <c r="U848" s="34">
        <f>IF($A848="",NA(),1-T848)</f>
        <v/>
      </c>
    </row>
    <row r="849"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3" t="n"/>
      <c r="N849" s="34">
        <f>IF($A849="",NA(),IF(C849&gt;0,D849/C849,0))</f>
        <v/>
      </c>
      <c r="O849" s="34">
        <f>IF($A849="",NA(),IF(E849&gt;0,F849/E849,0))</f>
        <v/>
      </c>
      <c r="P849" s="34">
        <f>IF($A849="",NA(),IF(K849+L849&gt;0,K849/(K849+L849),0.5))</f>
        <v/>
      </c>
      <c r="Q849" s="34">
        <f>IF($A849="",NA(),1-P849)</f>
        <v/>
      </c>
      <c r="R849" s="33">
        <f>IF($A849="",NA(),MAX(0,E849-F849)*IF(G849&gt;0,H849/G849,COMPAREC_PAD)*IF(I849&gt;0,J849/I849,VALIDOS_PAD))</f>
        <v/>
      </c>
      <c r="S849" s="34">
        <f>IF($A849="",NA(),IF(R849&gt;0,0.5-(K849-L849)/(2*R849),0))</f>
        <v/>
      </c>
      <c r="T849" s="34">
        <f>IF($A849="",NA(),IF(R849&lt;=0,IF(K849&gt;L849,1,IF(K849&lt;L849,0,0.5)),1-NORMDIST(S849,P849+AJUSTE,SIGMA,TRUE)))</f>
        <v/>
      </c>
      <c r="U849" s="34">
        <f>IF($A849="",NA(),1-T849)</f>
        <v/>
      </c>
    </row>
    <row r="850"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  <c r="N850" s="34">
        <f>IF($A850="",NA(),IF(C850&gt;0,D850/C850,0))</f>
        <v/>
      </c>
      <c r="O850" s="34">
        <f>IF($A850="",NA(),IF(E850&gt;0,F850/E850,0))</f>
        <v/>
      </c>
      <c r="P850" s="34">
        <f>IF($A850="",NA(),IF(K850+L850&gt;0,K850/(K850+L850),0.5))</f>
        <v/>
      </c>
      <c r="Q850" s="34">
        <f>IF($A850="",NA(),1-P850)</f>
        <v/>
      </c>
      <c r="R850" s="33">
        <f>IF($A850="",NA(),MAX(0,E850-F850)*IF(G850&gt;0,H850/G850,COMPAREC_PAD)*IF(I850&gt;0,J850/I850,VALIDOS_PAD))</f>
        <v/>
      </c>
      <c r="S850" s="34">
        <f>IF($A850="",NA(),IF(R850&gt;0,0.5-(K850-L850)/(2*R850),0))</f>
        <v/>
      </c>
      <c r="T850" s="34">
        <f>IF($A850="",NA(),IF(R850&lt;=0,IF(K850&gt;L850,1,IF(K850&lt;L850,0,0.5)),1-NORMDIST(S850,P850+AJUSTE,SIGMA,TRUE)))</f>
        <v/>
      </c>
      <c r="U850" s="34">
        <f>IF($A850="",NA(),1-T850)</f>
        <v/>
      </c>
    </row>
    <row r="851">
      <c r="C851" s="33" t="n"/>
      <c r="D851" s="33" t="n"/>
      <c r="E851" s="33" t="n"/>
      <c r="F851" s="33" t="n"/>
      <c r="G851" s="33" t="n"/>
      <c r="H851" s="33" t="n"/>
      <c r="I851" s="33" t="n"/>
      <c r="J851" s="33" t="n"/>
      <c r="K851" s="33" t="n"/>
      <c r="L851" s="33" t="n"/>
      <c r="N851" s="34">
        <f>IF($A851="",NA(),IF(C851&gt;0,D851/C851,0))</f>
        <v/>
      </c>
      <c r="O851" s="34">
        <f>IF($A851="",NA(),IF(E851&gt;0,F851/E851,0))</f>
        <v/>
      </c>
      <c r="P851" s="34">
        <f>IF($A851="",NA(),IF(K851+L851&gt;0,K851/(K851+L851),0.5))</f>
        <v/>
      </c>
      <c r="Q851" s="34">
        <f>IF($A851="",NA(),1-P851)</f>
        <v/>
      </c>
      <c r="R851" s="33">
        <f>IF($A851="",NA(),MAX(0,E851-F851)*IF(G851&gt;0,H851/G851,COMPAREC_PAD)*IF(I851&gt;0,J851/I851,VALIDOS_PAD))</f>
        <v/>
      </c>
      <c r="S851" s="34">
        <f>IF($A851="",NA(),IF(R851&gt;0,0.5-(K851-L851)/(2*R851),0))</f>
        <v/>
      </c>
      <c r="T851" s="34">
        <f>IF($A851="",NA(),IF(R851&lt;=0,IF(K851&gt;L851,1,IF(K851&lt;L851,0,0.5)),1-NORMDIST(S851,P851+AJUSTE,SIGMA,TRUE)))</f>
        <v/>
      </c>
      <c r="U851" s="34">
        <f>IF($A851="",NA(),1-T851)</f>
        <v/>
      </c>
    </row>
    <row r="852"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3" t="n"/>
      <c r="N852" s="34">
        <f>IF($A852="",NA(),IF(C852&gt;0,D852/C852,0))</f>
        <v/>
      </c>
      <c r="O852" s="34">
        <f>IF($A852="",NA(),IF(E852&gt;0,F852/E852,0))</f>
        <v/>
      </c>
      <c r="P852" s="34">
        <f>IF($A852="",NA(),IF(K852+L852&gt;0,K852/(K852+L852),0.5))</f>
        <v/>
      </c>
      <c r="Q852" s="34">
        <f>IF($A852="",NA(),1-P852)</f>
        <v/>
      </c>
      <c r="R852" s="33">
        <f>IF($A852="",NA(),MAX(0,E852-F852)*IF(G852&gt;0,H852/G852,COMPAREC_PAD)*IF(I852&gt;0,J852/I852,VALIDOS_PAD))</f>
        <v/>
      </c>
      <c r="S852" s="34">
        <f>IF($A852="",NA(),IF(R852&gt;0,0.5-(K852-L852)/(2*R852),0))</f>
        <v/>
      </c>
      <c r="T852" s="34">
        <f>IF($A852="",NA(),IF(R852&lt;=0,IF(K852&gt;L852,1,IF(K852&lt;L852,0,0.5)),1-NORMDIST(S852,P852+AJUSTE,SIGMA,TRUE)))</f>
        <v/>
      </c>
      <c r="U852" s="34">
        <f>IF($A852="",NA(),1-T852)</f>
        <v/>
      </c>
    </row>
    <row r="853">
      <c r="C853" s="33" t="n"/>
      <c r="D853" s="33" t="n"/>
      <c r="E853" s="33" t="n"/>
      <c r="F853" s="33" t="n"/>
      <c r="G853" s="33" t="n"/>
      <c r="H853" s="33" t="n"/>
      <c r="I853" s="33" t="n"/>
      <c r="J853" s="33" t="n"/>
      <c r="K853" s="33" t="n"/>
      <c r="L853" s="33" t="n"/>
      <c r="N853" s="34">
        <f>IF($A853="",NA(),IF(C853&gt;0,D853/C853,0))</f>
        <v/>
      </c>
      <c r="O853" s="34">
        <f>IF($A853="",NA(),IF(E853&gt;0,F853/E853,0))</f>
        <v/>
      </c>
      <c r="P853" s="34">
        <f>IF($A853="",NA(),IF(K853+L853&gt;0,K853/(K853+L853),0.5))</f>
        <v/>
      </c>
      <c r="Q853" s="34">
        <f>IF($A853="",NA(),1-P853)</f>
        <v/>
      </c>
      <c r="R853" s="33">
        <f>IF($A853="",NA(),MAX(0,E853-F853)*IF(G853&gt;0,H853/G853,COMPAREC_PAD)*IF(I853&gt;0,J853/I853,VALIDOS_PAD))</f>
        <v/>
      </c>
      <c r="S853" s="34">
        <f>IF($A853="",NA(),IF(R853&gt;0,0.5-(K853-L853)/(2*R853),0))</f>
        <v/>
      </c>
      <c r="T853" s="34">
        <f>IF($A853="",NA(),IF(R853&lt;=0,IF(K853&gt;L853,1,IF(K853&lt;L853,0,0.5)),1-NORMDIST(S853,P853+AJUSTE,SIGMA,TRUE)))</f>
        <v/>
      </c>
      <c r="U853" s="34">
        <f>IF($A853="",NA(),1-T853)</f>
        <v/>
      </c>
    </row>
    <row r="854"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3" t="n"/>
      <c r="N854" s="34">
        <f>IF($A854="",NA(),IF(C854&gt;0,D854/C854,0))</f>
        <v/>
      </c>
      <c r="O854" s="34">
        <f>IF($A854="",NA(),IF(E854&gt;0,F854/E854,0))</f>
        <v/>
      </c>
      <c r="P854" s="34">
        <f>IF($A854="",NA(),IF(K854+L854&gt;0,K854/(K854+L854),0.5))</f>
        <v/>
      </c>
      <c r="Q854" s="34">
        <f>IF($A854="",NA(),1-P854)</f>
        <v/>
      </c>
      <c r="R854" s="33">
        <f>IF($A854="",NA(),MAX(0,E854-F854)*IF(G854&gt;0,H854/G854,COMPAREC_PAD)*IF(I854&gt;0,J854/I854,VALIDOS_PAD))</f>
        <v/>
      </c>
      <c r="S854" s="34">
        <f>IF($A854="",NA(),IF(R854&gt;0,0.5-(K854-L854)/(2*R854),0))</f>
        <v/>
      </c>
      <c r="T854" s="34">
        <f>IF($A854="",NA(),IF(R854&lt;=0,IF(K854&gt;L854,1,IF(K854&lt;L854,0,0.5)),1-NORMDIST(S854,P854+AJUSTE,SIGMA,TRUE)))</f>
        <v/>
      </c>
      <c r="U854" s="34">
        <f>IF($A854="",NA(),1-T854)</f>
        <v/>
      </c>
    </row>
    <row r="855">
      <c r="C855" s="33" t="n"/>
      <c r="D855" s="33" t="n"/>
      <c r="E855" s="33" t="n"/>
      <c r="F855" s="33" t="n"/>
      <c r="G855" s="33" t="n"/>
      <c r="H855" s="33" t="n"/>
      <c r="I855" s="33" t="n"/>
      <c r="J855" s="33" t="n"/>
      <c r="K855" s="33" t="n"/>
      <c r="L855" s="33" t="n"/>
      <c r="N855" s="34">
        <f>IF($A855="",NA(),IF(C855&gt;0,D855/C855,0))</f>
        <v/>
      </c>
      <c r="O855" s="34">
        <f>IF($A855="",NA(),IF(E855&gt;0,F855/E855,0))</f>
        <v/>
      </c>
      <c r="P855" s="34">
        <f>IF($A855="",NA(),IF(K855+L855&gt;0,K855/(K855+L855),0.5))</f>
        <v/>
      </c>
      <c r="Q855" s="34">
        <f>IF($A855="",NA(),1-P855)</f>
        <v/>
      </c>
      <c r="R855" s="33">
        <f>IF($A855="",NA(),MAX(0,E855-F855)*IF(G855&gt;0,H855/G855,COMPAREC_PAD)*IF(I855&gt;0,J855/I855,VALIDOS_PAD))</f>
        <v/>
      </c>
      <c r="S855" s="34">
        <f>IF($A855="",NA(),IF(R855&gt;0,0.5-(K855-L855)/(2*R855),0))</f>
        <v/>
      </c>
      <c r="T855" s="34">
        <f>IF($A855="",NA(),IF(R855&lt;=0,IF(K855&gt;L855,1,IF(K855&lt;L855,0,0.5)),1-NORMDIST(S855,P855+AJUSTE,SIGMA,TRUE)))</f>
        <v/>
      </c>
      <c r="U855" s="34">
        <f>IF($A855="",NA(),1-T855)</f>
        <v/>
      </c>
    </row>
    <row r="856"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3" t="n"/>
      <c r="N856" s="34">
        <f>IF($A856="",NA(),IF(C856&gt;0,D856/C856,0))</f>
        <v/>
      </c>
      <c r="O856" s="34">
        <f>IF($A856="",NA(),IF(E856&gt;0,F856/E856,0))</f>
        <v/>
      </c>
      <c r="P856" s="34">
        <f>IF($A856="",NA(),IF(K856+L856&gt;0,K856/(K856+L856),0.5))</f>
        <v/>
      </c>
      <c r="Q856" s="34">
        <f>IF($A856="",NA(),1-P856)</f>
        <v/>
      </c>
      <c r="R856" s="33">
        <f>IF($A856="",NA(),MAX(0,E856-F856)*IF(G856&gt;0,H856/G856,COMPAREC_PAD)*IF(I856&gt;0,J856/I856,VALIDOS_PAD))</f>
        <v/>
      </c>
      <c r="S856" s="34">
        <f>IF($A856="",NA(),IF(R856&gt;0,0.5-(K856-L856)/(2*R856),0))</f>
        <v/>
      </c>
      <c r="T856" s="34">
        <f>IF($A856="",NA(),IF(R856&lt;=0,IF(K856&gt;L856,1,IF(K856&lt;L856,0,0.5)),1-NORMDIST(S856,P856+AJUSTE,SIGMA,TRUE)))</f>
        <v/>
      </c>
      <c r="U856" s="34">
        <f>IF($A856="",NA(),1-T856)</f>
        <v/>
      </c>
    </row>
    <row r="857">
      <c r="C857" s="33" t="n"/>
      <c r="D857" s="33" t="n"/>
      <c r="E857" s="33" t="n"/>
      <c r="F857" s="33" t="n"/>
      <c r="G857" s="33" t="n"/>
      <c r="H857" s="33" t="n"/>
      <c r="I857" s="33" t="n"/>
      <c r="J857" s="33" t="n"/>
      <c r="K857" s="33" t="n"/>
      <c r="L857" s="33" t="n"/>
      <c r="N857" s="34">
        <f>IF($A857="",NA(),IF(C857&gt;0,D857/C857,0))</f>
        <v/>
      </c>
      <c r="O857" s="34">
        <f>IF($A857="",NA(),IF(E857&gt;0,F857/E857,0))</f>
        <v/>
      </c>
      <c r="P857" s="34">
        <f>IF($A857="",NA(),IF(K857+L857&gt;0,K857/(K857+L857),0.5))</f>
        <v/>
      </c>
      <c r="Q857" s="34">
        <f>IF($A857="",NA(),1-P857)</f>
        <v/>
      </c>
      <c r="R857" s="33">
        <f>IF($A857="",NA(),MAX(0,E857-F857)*IF(G857&gt;0,H857/G857,COMPAREC_PAD)*IF(I857&gt;0,J857/I857,VALIDOS_PAD))</f>
        <v/>
      </c>
      <c r="S857" s="34">
        <f>IF($A857="",NA(),IF(R857&gt;0,0.5-(K857-L857)/(2*R857),0))</f>
        <v/>
      </c>
      <c r="T857" s="34">
        <f>IF($A857="",NA(),IF(R857&lt;=0,IF(K857&gt;L857,1,IF(K857&lt;L857,0,0.5)),1-NORMDIST(S857,P857+AJUSTE,SIGMA,TRUE)))</f>
        <v/>
      </c>
      <c r="U857" s="34">
        <f>IF($A857="",NA(),1-T857)</f>
        <v/>
      </c>
    </row>
    <row r="858"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3" t="n"/>
      <c r="N858" s="34">
        <f>IF($A858="",NA(),IF(C858&gt;0,D858/C858,0))</f>
        <v/>
      </c>
      <c r="O858" s="34">
        <f>IF($A858="",NA(),IF(E858&gt;0,F858/E858,0))</f>
        <v/>
      </c>
      <c r="P858" s="34">
        <f>IF($A858="",NA(),IF(K858+L858&gt;0,K858/(K858+L858),0.5))</f>
        <v/>
      </c>
      <c r="Q858" s="34">
        <f>IF($A858="",NA(),1-P858)</f>
        <v/>
      </c>
      <c r="R858" s="33">
        <f>IF($A858="",NA(),MAX(0,E858-F858)*IF(G858&gt;0,H858/G858,COMPAREC_PAD)*IF(I858&gt;0,J858/I858,VALIDOS_PAD))</f>
        <v/>
      </c>
      <c r="S858" s="34">
        <f>IF($A858="",NA(),IF(R858&gt;0,0.5-(K858-L858)/(2*R858),0))</f>
        <v/>
      </c>
      <c r="T858" s="34">
        <f>IF($A858="",NA(),IF(R858&lt;=0,IF(K858&gt;L858,1,IF(K858&lt;L858,0,0.5)),1-NORMDIST(S858,P858+AJUSTE,SIGMA,TRUE)))</f>
        <v/>
      </c>
      <c r="U858" s="34">
        <f>IF($A858="",NA(),1-T858)</f>
        <v/>
      </c>
    </row>
    <row r="859">
      <c r="C859" s="33" t="n"/>
      <c r="D859" s="33" t="n"/>
      <c r="E859" s="33" t="n"/>
      <c r="F859" s="33" t="n"/>
      <c r="G859" s="33" t="n"/>
      <c r="H859" s="33" t="n"/>
      <c r="I859" s="33" t="n"/>
      <c r="J859" s="33" t="n"/>
      <c r="K859" s="33" t="n"/>
      <c r="L859" s="33" t="n"/>
      <c r="N859" s="34">
        <f>IF($A859="",NA(),IF(C859&gt;0,D859/C859,0))</f>
        <v/>
      </c>
      <c r="O859" s="34">
        <f>IF($A859="",NA(),IF(E859&gt;0,F859/E859,0))</f>
        <v/>
      </c>
      <c r="P859" s="34">
        <f>IF($A859="",NA(),IF(K859+L859&gt;0,K859/(K859+L859),0.5))</f>
        <v/>
      </c>
      <c r="Q859" s="34">
        <f>IF($A859="",NA(),1-P859)</f>
        <v/>
      </c>
      <c r="R859" s="33">
        <f>IF($A859="",NA(),MAX(0,E859-F859)*IF(G859&gt;0,H859/G859,COMPAREC_PAD)*IF(I859&gt;0,J859/I859,VALIDOS_PAD))</f>
        <v/>
      </c>
      <c r="S859" s="34">
        <f>IF($A859="",NA(),IF(R859&gt;0,0.5-(K859-L859)/(2*R859),0))</f>
        <v/>
      </c>
      <c r="T859" s="34">
        <f>IF($A859="",NA(),IF(R859&lt;=0,IF(K859&gt;L859,1,IF(K859&lt;L859,0,0.5)),1-NORMDIST(S859,P859+AJUSTE,SIGMA,TRUE)))</f>
        <v/>
      </c>
      <c r="U859" s="34">
        <f>IF($A859="",NA(),1-T859)</f>
        <v/>
      </c>
    </row>
    <row r="860"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3" t="n"/>
      <c r="N860" s="34">
        <f>IF($A860="",NA(),IF(C860&gt;0,D860/C860,0))</f>
        <v/>
      </c>
      <c r="O860" s="34">
        <f>IF($A860="",NA(),IF(E860&gt;0,F860/E860,0))</f>
        <v/>
      </c>
      <c r="P860" s="34">
        <f>IF($A860="",NA(),IF(K860+L860&gt;0,K860/(K860+L860),0.5))</f>
        <v/>
      </c>
      <c r="Q860" s="34">
        <f>IF($A860="",NA(),1-P860)</f>
        <v/>
      </c>
      <c r="R860" s="33">
        <f>IF($A860="",NA(),MAX(0,E860-F860)*IF(G860&gt;0,H860/G860,COMPAREC_PAD)*IF(I860&gt;0,J860/I860,VALIDOS_PAD))</f>
        <v/>
      </c>
      <c r="S860" s="34">
        <f>IF($A860="",NA(),IF(R860&gt;0,0.5-(K860-L860)/(2*R860),0))</f>
        <v/>
      </c>
      <c r="T860" s="34">
        <f>IF($A860="",NA(),IF(R860&lt;=0,IF(K860&gt;L860,1,IF(K860&lt;L860,0,0.5)),1-NORMDIST(S860,P860+AJUSTE,SIGMA,TRUE)))</f>
        <v/>
      </c>
      <c r="U860" s="34">
        <f>IF($A860="",NA(),1-T860)</f>
        <v/>
      </c>
    </row>
    <row r="861">
      <c r="C861" s="33" t="n"/>
      <c r="D861" s="33" t="n"/>
      <c r="E861" s="33" t="n"/>
      <c r="F861" s="33" t="n"/>
      <c r="G861" s="33" t="n"/>
      <c r="H861" s="33" t="n"/>
      <c r="I861" s="33" t="n"/>
      <c r="J861" s="33" t="n"/>
      <c r="K861" s="33" t="n"/>
      <c r="L861" s="33" t="n"/>
      <c r="N861" s="34">
        <f>IF($A861="",NA(),IF(C861&gt;0,D861/C861,0))</f>
        <v/>
      </c>
      <c r="O861" s="34">
        <f>IF($A861="",NA(),IF(E861&gt;0,F861/E861,0))</f>
        <v/>
      </c>
      <c r="P861" s="34">
        <f>IF($A861="",NA(),IF(K861+L861&gt;0,K861/(K861+L861),0.5))</f>
        <v/>
      </c>
      <c r="Q861" s="34">
        <f>IF($A861="",NA(),1-P861)</f>
        <v/>
      </c>
      <c r="R861" s="33">
        <f>IF($A861="",NA(),MAX(0,E861-F861)*IF(G861&gt;0,H861/G861,COMPAREC_PAD)*IF(I861&gt;0,J861/I861,VALIDOS_PAD))</f>
        <v/>
      </c>
      <c r="S861" s="34">
        <f>IF($A861="",NA(),IF(R861&gt;0,0.5-(K861-L861)/(2*R861),0))</f>
        <v/>
      </c>
      <c r="T861" s="34">
        <f>IF($A861="",NA(),IF(R861&lt;=0,IF(K861&gt;L861,1,IF(K861&lt;L861,0,0.5)),1-NORMDIST(S861,P861+AJUSTE,SIGMA,TRUE)))</f>
        <v/>
      </c>
      <c r="U861" s="34">
        <f>IF($A861="",NA(),1-T861)</f>
        <v/>
      </c>
    </row>
    <row r="862"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3" t="n"/>
      <c r="N862" s="34">
        <f>IF($A862="",NA(),IF(C862&gt;0,D862/C862,0))</f>
        <v/>
      </c>
      <c r="O862" s="34">
        <f>IF($A862="",NA(),IF(E862&gt;0,F862/E862,0))</f>
        <v/>
      </c>
      <c r="P862" s="34">
        <f>IF($A862="",NA(),IF(K862+L862&gt;0,K862/(K862+L862),0.5))</f>
        <v/>
      </c>
      <c r="Q862" s="34">
        <f>IF($A862="",NA(),1-P862)</f>
        <v/>
      </c>
      <c r="R862" s="33">
        <f>IF($A862="",NA(),MAX(0,E862-F862)*IF(G862&gt;0,H862/G862,COMPAREC_PAD)*IF(I862&gt;0,J862/I862,VALIDOS_PAD))</f>
        <v/>
      </c>
      <c r="S862" s="34">
        <f>IF($A862="",NA(),IF(R862&gt;0,0.5-(K862-L862)/(2*R862),0))</f>
        <v/>
      </c>
      <c r="T862" s="34">
        <f>IF($A862="",NA(),IF(R862&lt;=0,IF(K862&gt;L862,1,IF(K862&lt;L862,0,0.5)),1-NORMDIST(S862,P862+AJUSTE,SIGMA,TRUE)))</f>
        <v/>
      </c>
      <c r="U862" s="34">
        <f>IF($A862="",NA(),1-T862)</f>
        <v/>
      </c>
    </row>
    <row r="863">
      <c r="C863" s="33" t="n"/>
      <c r="D863" s="33" t="n"/>
      <c r="E863" s="33" t="n"/>
      <c r="F863" s="33" t="n"/>
      <c r="G863" s="33" t="n"/>
      <c r="H863" s="33" t="n"/>
      <c r="I863" s="33" t="n"/>
      <c r="J863" s="33" t="n"/>
      <c r="K863" s="33" t="n"/>
      <c r="L863" s="33" t="n"/>
      <c r="N863" s="34">
        <f>IF($A863="",NA(),IF(C863&gt;0,D863/C863,0))</f>
        <v/>
      </c>
      <c r="O863" s="34">
        <f>IF($A863="",NA(),IF(E863&gt;0,F863/E863,0))</f>
        <v/>
      </c>
      <c r="P863" s="34">
        <f>IF($A863="",NA(),IF(K863+L863&gt;0,K863/(K863+L863),0.5))</f>
        <v/>
      </c>
      <c r="Q863" s="34">
        <f>IF($A863="",NA(),1-P863)</f>
        <v/>
      </c>
      <c r="R863" s="33">
        <f>IF($A863="",NA(),MAX(0,E863-F863)*IF(G863&gt;0,H863/G863,COMPAREC_PAD)*IF(I863&gt;0,J863/I863,VALIDOS_PAD))</f>
        <v/>
      </c>
      <c r="S863" s="34">
        <f>IF($A863="",NA(),IF(R863&gt;0,0.5-(K863-L863)/(2*R863),0))</f>
        <v/>
      </c>
      <c r="T863" s="34">
        <f>IF($A863="",NA(),IF(R863&lt;=0,IF(K863&gt;L863,1,IF(K863&lt;L863,0,0.5)),1-NORMDIST(S863,P863+AJUSTE,SIGMA,TRUE)))</f>
        <v/>
      </c>
      <c r="U863" s="34">
        <f>IF($A863="",NA(),1-T863)</f>
        <v/>
      </c>
    </row>
    <row r="864"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3" t="n"/>
      <c r="N864" s="34">
        <f>IF($A864="",NA(),IF(C864&gt;0,D864/C864,0))</f>
        <v/>
      </c>
      <c r="O864" s="34">
        <f>IF($A864="",NA(),IF(E864&gt;0,F864/E864,0))</f>
        <v/>
      </c>
      <c r="P864" s="34">
        <f>IF($A864="",NA(),IF(K864+L864&gt;0,K864/(K864+L864),0.5))</f>
        <v/>
      </c>
      <c r="Q864" s="34">
        <f>IF($A864="",NA(),1-P864)</f>
        <v/>
      </c>
      <c r="R864" s="33">
        <f>IF($A864="",NA(),MAX(0,E864-F864)*IF(G864&gt;0,H864/G864,COMPAREC_PAD)*IF(I864&gt;0,J864/I864,VALIDOS_PAD))</f>
        <v/>
      </c>
      <c r="S864" s="34">
        <f>IF($A864="",NA(),IF(R864&gt;0,0.5-(K864-L864)/(2*R864),0))</f>
        <v/>
      </c>
      <c r="T864" s="34">
        <f>IF($A864="",NA(),IF(R864&lt;=0,IF(K864&gt;L864,1,IF(K864&lt;L864,0,0.5)),1-NORMDIST(S864,P864+AJUSTE,SIGMA,TRUE)))</f>
        <v/>
      </c>
      <c r="U864" s="34">
        <f>IF($A864="",NA(),1-T864)</f>
        <v/>
      </c>
    </row>
    <row r="865">
      <c r="C865" s="33" t="n"/>
      <c r="D865" s="33" t="n"/>
      <c r="E865" s="33" t="n"/>
      <c r="F865" s="33" t="n"/>
      <c r="G865" s="33" t="n"/>
      <c r="H865" s="33" t="n"/>
      <c r="I865" s="33" t="n"/>
      <c r="J865" s="33" t="n"/>
      <c r="K865" s="33" t="n"/>
      <c r="L865" s="33" t="n"/>
      <c r="N865" s="34">
        <f>IF($A865="",NA(),IF(C865&gt;0,D865/C865,0))</f>
        <v/>
      </c>
      <c r="O865" s="34">
        <f>IF($A865="",NA(),IF(E865&gt;0,F865/E865,0))</f>
        <v/>
      </c>
      <c r="P865" s="34">
        <f>IF($A865="",NA(),IF(K865+L865&gt;0,K865/(K865+L865),0.5))</f>
        <v/>
      </c>
      <c r="Q865" s="34">
        <f>IF($A865="",NA(),1-P865)</f>
        <v/>
      </c>
      <c r="R865" s="33">
        <f>IF($A865="",NA(),MAX(0,E865-F865)*IF(G865&gt;0,H865/G865,COMPAREC_PAD)*IF(I865&gt;0,J865/I865,VALIDOS_PAD))</f>
        <v/>
      </c>
      <c r="S865" s="34">
        <f>IF($A865="",NA(),IF(R865&gt;0,0.5-(K865-L865)/(2*R865),0))</f>
        <v/>
      </c>
      <c r="T865" s="34">
        <f>IF($A865="",NA(),IF(R865&lt;=0,IF(K865&gt;L865,1,IF(K865&lt;L865,0,0.5)),1-NORMDIST(S865,P865+AJUSTE,SIGMA,TRUE)))</f>
        <v/>
      </c>
      <c r="U865" s="34">
        <f>IF($A865="",NA(),1-T865)</f>
        <v/>
      </c>
    </row>
    <row r="866"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3" t="n"/>
      <c r="N866" s="34">
        <f>IF($A866="",NA(),IF(C866&gt;0,D866/C866,0))</f>
        <v/>
      </c>
      <c r="O866" s="34">
        <f>IF($A866="",NA(),IF(E866&gt;0,F866/E866,0))</f>
        <v/>
      </c>
      <c r="P866" s="34">
        <f>IF($A866="",NA(),IF(K866+L866&gt;0,K866/(K866+L866),0.5))</f>
        <v/>
      </c>
      <c r="Q866" s="34">
        <f>IF($A866="",NA(),1-P866)</f>
        <v/>
      </c>
      <c r="R866" s="33">
        <f>IF($A866="",NA(),MAX(0,E866-F866)*IF(G866&gt;0,H866/G866,COMPAREC_PAD)*IF(I866&gt;0,J866/I866,VALIDOS_PAD))</f>
        <v/>
      </c>
      <c r="S866" s="34">
        <f>IF($A866="",NA(),IF(R866&gt;0,0.5-(K866-L866)/(2*R866),0))</f>
        <v/>
      </c>
      <c r="T866" s="34">
        <f>IF($A866="",NA(),IF(R866&lt;=0,IF(K866&gt;L866,1,IF(K866&lt;L866,0,0.5)),1-NORMDIST(S866,P866+AJUSTE,SIGMA,TRUE)))</f>
        <v/>
      </c>
      <c r="U866" s="34">
        <f>IF($A866="",NA(),1-T866)</f>
        <v/>
      </c>
    </row>
    <row r="867">
      <c r="C867" s="33" t="n"/>
      <c r="D867" s="33" t="n"/>
      <c r="E867" s="33" t="n"/>
      <c r="F867" s="33" t="n"/>
      <c r="G867" s="33" t="n"/>
      <c r="H867" s="33" t="n"/>
      <c r="I867" s="33" t="n"/>
      <c r="J867" s="33" t="n"/>
      <c r="K867" s="33" t="n"/>
      <c r="L867" s="33" t="n"/>
      <c r="N867" s="34">
        <f>IF($A867="",NA(),IF(C867&gt;0,D867/C867,0))</f>
        <v/>
      </c>
      <c r="O867" s="34">
        <f>IF($A867="",NA(),IF(E867&gt;0,F867/E867,0))</f>
        <v/>
      </c>
      <c r="P867" s="34">
        <f>IF($A867="",NA(),IF(K867+L867&gt;0,K867/(K867+L867),0.5))</f>
        <v/>
      </c>
      <c r="Q867" s="34">
        <f>IF($A867="",NA(),1-P867)</f>
        <v/>
      </c>
      <c r="R867" s="33">
        <f>IF($A867="",NA(),MAX(0,E867-F867)*IF(G867&gt;0,H867/G867,COMPAREC_PAD)*IF(I867&gt;0,J867/I867,VALIDOS_PAD))</f>
        <v/>
      </c>
      <c r="S867" s="34">
        <f>IF($A867="",NA(),IF(R867&gt;0,0.5-(K867-L867)/(2*R867),0))</f>
        <v/>
      </c>
      <c r="T867" s="34">
        <f>IF($A867="",NA(),IF(R867&lt;=0,IF(K867&gt;L867,1,IF(K867&lt;L867,0,0.5)),1-NORMDIST(S867,P867+AJUSTE,SIGMA,TRUE)))</f>
        <v/>
      </c>
      <c r="U867" s="34">
        <f>IF($A867="",NA(),1-T867)</f>
        <v/>
      </c>
    </row>
    <row r="868"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N868" s="34">
        <f>IF($A868="",NA(),IF(C868&gt;0,D868/C868,0))</f>
        <v/>
      </c>
      <c r="O868" s="34">
        <f>IF($A868="",NA(),IF(E868&gt;0,F868/E868,0))</f>
        <v/>
      </c>
      <c r="P868" s="34">
        <f>IF($A868="",NA(),IF(K868+L868&gt;0,K868/(K868+L868),0.5))</f>
        <v/>
      </c>
      <c r="Q868" s="34">
        <f>IF($A868="",NA(),1-P868)</f>
        <v/>
      </c>
      <c r="R868" s="33">
        <f>IF($A868="",NA(),MAX(0,E868-F868)*IF(G868&gt;0,H868/G868,COMPAREC_PAD)*IF(I868&gt;0,J868/I868,VALIDOS_PAD))</f>
        <v/>
      </c>
      <c r="S868" s="34">
        <f>IF($A868="",NA(),IF(R868&gt;0,0.5-(K868-L868)/(2*R868),0))</f>
        <v/>
      </c>
      <c r="T868" s="34">
        <f>IF($A868="",NA(),IF(R868&lt;=0,IF(K868&gt;L868,1,IF(K868&lt;L868,0,0.5)),1-NORMDIST(S868,P868+AJUSTE,SIGMA,TRUE)))</f>
        <v/>
      </c>
      <c r="U868" s="34">
        <f>IF($A868="",NA(),1-T868)</f>
        <v/>
      </c>
    </row>
    <row r="869">
      <c r="C869" s="33" t="n"/>
      <c r="D869" s="33" t="n"/>
      <c r="E869" s="33" t="n"/>
      <c r="F869" s="33" t="n"/>
      <c r="G869" s="33" t="n"/>
      <c r="H869" s="33" t="n"/>
      <c r="I869" s="33" t="n"/>
      <c r="J869" s="33" t="n"/>
      <c r="K869" s="33" t="n"/>
      <c r="L869" s="33" t="n"/>
      <c r="N869" s="34">
        <f>IF($A869="",NA(),IF(C869&gt;0,D869/C869,0))</f>
        <v/>
      </c>
      <c r="O869" s="34">
        <f>IF($A869="",NA(),IF(E869&gt;0,F869/E869,0))</f>
        <v/>
      </c>
      <c r="P869" s="34">
        <f>IF($A869="",NA(),IF(K869+L869&gt;0,K869/(K869+L869),0.5))</f>
        <v/>
      </c>
      <c r="Q869" s="34">
        <f>IF($A869="",NA(),1-P869)</f>
        <v/>
      </c>
      <c r="R869" s="33">
        <f>IF($A869="",NA(),MAX(0,E869-F869)*IF(G869&gt;0,H869/G869,COMPAREC_PAD)*IF(I869&gt;0,J869/I869,VALIDOS_PAD))</f>
        <v/>
      </c>
      <c r="S869" s="34">
        <f>IF($A869="",NA(),IF(R869&gt;0,0.5-(K869-L869)/(2*R869),0))</f>
        <v/>
      </c>
      <c r="T869" s="34">
        <f>IF($A869="",NA(),IF(R869&lt;=0,IF(K869&gt;L869,1,IF(K869&lt;L869,0,0.5)),1-NORMDIST(S869,P869+AJUSTE,SIGMA,TRUE)))</f>
        <v/>
      </c>
      <c r="U869" s="34">
        <f>IF($A869="",NA(),1-T869)</f>
        <v/>
      </c>
    </row>
    <row r="870"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3" t="n"/>
      <c r="N870" s="34">
        <f>IF($A870="",NA(),IF(C870&gt;0,D870/C870,0))</f>
        <v/>
      </c>
      <c r="O870" s="34">
        <f>IF($A870="",NA(),IF(E870&gt;0,F870/E870,0))</f>
        <v/>
      </c>
      <c r="P870" s="34">
        <f>IF($A870="",NA(),IF(K870+L870&gt;0,K870/(K870+L870),0.5))</f>
        <v/>
      </c>
      <c r="Q870" s="34">
        <f>IF($A870="",NA(),1-P870)</f>
        <v/>
      </c>
      <c r="R870" s="33">
        <f>IF($A870="",NA(),MAX(0,E870-F870)*IF(G870&gt;0,H870/G870,COMPAREC_PAD)*IF(I870&gt;0,J870/I870,VALIDOS_PAD))</f>
        <v/>
      </c>
      <c r="S870" s="34">
        <f>IF($A870="",NA(),IF(R870&gt;0,0.5-(K870-L870)/(2*R870),0))</f>
        <v/>
      </c>
      <c r="T870" s="34">
        <f>IF($A870="",NA(),IF(R870&lt;=0,IF(K870&gt;L870,1,IF(K870&lt;L870,0,0.5)),1-NORMDIST(S870,P870+AJUSTE,SIGMA,TRUE)))</f>
        <v/>
      </c>
      <c r="U870" s="34">
        <f>IF($A870="",NA(),1-T870)</f>
        <v/>
      </c>
    </row>
    <row r="871">
      <c r="C871" s="33" t="n"/>
      <c r="D871" s="33" t="n"/>
      <c r="E871" s="33" t="n"/>
      <c r="F871" s="33" t="n"/>
      <c r="G871" s="33" t="n"/>
      <c r="H871" s="33" t="n"/>
      <c r="I871" s="33" t="n"/>
      <c r="J871" s="33" t="n"/>
      <c r="K871" s="33" t="n"/>
      <c r="L871" s="33" t="n"/>
      <c r="N871" s="34">
        <f>IF($A871="",NA(),IF(C871&gt;0,D871/C871,0))</f>
        <v/>
      </c>
      <c r="O871" s="34">
        <f>IF($A871="",NA(),IF(E871&gt;0,F871/E871,0))</f>
        <v/>
      </c>
      <c r="P871" s="34">
        <f>IF($A871="",NA(),IF(K871+L871&gt;0,K871/(K871+L871),0.5))</f>
        <v/>
      </c>
      <c r="Q871" s="34">
        <f>IF($A871="",NA(),1-P871)</f>
        <v/>
      </c>
      <c r="R871" s="33">
        <f>IF($A871="",NA(),MAX(0,E871-F871)*IF(G871&gt;0,H871/G871,COMPAREC_PAD)*IF(I871&gt;0,J871/I871,VALIDOS_PAD))</f>
        <v/>
      </c>
      <c r="S871" s="34">
        <f>IF($A871="",NA(),IF(R871&gt;0,0.5-(K871-L871)/(2*R871),0))</f>
        <v/>
      </c>
      <c r="T871" s="34">
        <f>IF($A871="",NA(),IF(R871&lt;=0,IF(K871&gt;L871,1,IF(K871&lt;L871,0,0.5)),1-NORMDIST(S871,P871+AJUSTE,SIGMA,TRUE)))</f>
        <v/>
      </c>
      <c r="U871" s="34">
        <f>IF($A871="",NA(),1-T871)</f>
        <v/>
      </c>
    </row>
    <row r="872"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3" t="n"/>
      <c r="N872" s="34">
        <f>IF($A872="",NA(),IF(C872&gt;0,D872/C872,0))</f>
        <v/>
      </c>
      <c r="O872" s="34">
        <f>IF($A872="",NA(),IF(E872&gt;0,F872/E872,0))</f>
        <v/>
      </c>
      <c r="P872" s="34">
        <f>IF($A872="",NA(),IF(K872+L872&gt;0,K872/(K872+L872),0.5))</f>
        <v/>
      </c>
      <c r="Q872" s="34">
        <f>IF($A872="",NA(),1-P872)</f>
        <v/>
      </c>
      <c r="R872" s="33">
        <f>IF($A872="",NA(),MAX(0,E872-F872)*IF(G872&gt;0,H872/G872,COMPAREC_PAD)*IF(I872&gt;0,J872/I872,VALIDOS_PAD))</f>
        <v/>
      </c>
      <c r="S872" s="34">
        <f>IF($A872="",NA(),IF(R872&gt;0,0.5-(K872-L872)/(2*R872),0))</f>
        <v/>
      </c>
      <c r="T872" s="34">
        <f>IF($A872="",NA(),IF(R872&lt;=0,IF(K872&gt;L872,1,IF(K872&lt;L872,0,0.5)),1-NORMDIST(S872,P872+AJUSTE,SIGMA,TRUE)))</f>
        <v/>
      </c>
      <c r="U872" s="34">
        <f>IF($A872="",NA(),1-T872)</f>
        <v/>
      </c>
    </row>
    <row r="873">
      <c r="C873" s="33" t="n"/>
      <c r="D873" s="33" t="n"/>
      <c r="E873" s="33" t="n"/>
      <c r="F873" s="33" t="n"/>
      <c r="G873" s="33" t="n"/>
      <c r="H873" s="33" t="n"/>
      <c r="I873" s="33" t="n"/>
      <c r="J873" s="33" t="n"/>
      <c r="K873" s="33" t="n"/>
      <c r="L873" s="33" t="n"/>
      <c r="N873" s="34">
        <f>IF($A873="",NA(),IF(C873&gt;0,D873/C873,0))</f>
        <v/>
      </c>
      <c r="O873" s="34">
        <f>IF($A873="",NA(),IF(E873&gt;0,F873/E873,0))</f>
        <v/>
      </c>
      <c r="P873" s="34">
        <f>IF($A873="",NA(),IF(K873+L873&gt;0,K873/(K873+L873),0.5))</f>
        <v/>
      </c>
      <c r="Q873" s="34">
        <f>IF($A873="",NA(),1-P873)</f>
        <v/>
      </c>
      <c r="R873" s="33">
        <f>IF($A873="",NA(),MAX(0,E873-F873)*IF(G873&gt;0,H873/G873,COMPAREC_PAD)*IF(I873&gt;0,J873/I873,VALIDOS_PAD))</f>
        <v/>
      </c>
      <c r="S873" s="34">
        <f>IF($A873="",NA(),IF(R873&gt;0,0.5-(K873-L873)/(2*R873),0))</f>
        <v/>
      </c>
      <c r="T873" s="34">
        <f>IF($A873="",NA(),IF(R873&lt;=0,IF(K873&gt;L873,1,IF(K873&lt;L873,0,0.5)),1-NORMDIST(S873,P873+AJUSTE,SIGMA,TRUE)))</f>
        <v/>
      </c>
      <c r="U873" s="34">
        <f>IF($A873="",NA(),1-T873)</f>
        <v/>
      </c>
    </row>
    <row r="874"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3" t="n"/>
      <c r="N874" s="34">
        <f>IF($A874="",NA(),IF(C874&gt;0,D874/C874,0))</f>
        <v/>
      </c>
      <c r="O874" s="34">
        <f>IF($A874="",NA(),IF(E874&gt;0,F874/E874,0))</f>
        <v/>
      </c>
      <c r="P874" s="34">
        <f>IF($A874="",NA(),IF(K874+L874&gt;0,K874/(K874+L874),0.5))</f>
        <v/>
      </c>
      <c r="Q874" s="34">
        <f>IF($A874="",NA(),1-P874)</f>
        <v/>
      </c>
      <c r="R874" s="33">
        <f>IF($A874="",NA(),MAX(0,E874-F874)*IF(G874&gt;0,H874/G874,COMPAREC_PAD)*IF(I874&gt;0,J874/I874,VALIDOS_PAD))</f>
        <v/>
      </c>
      <c r="S874" s="34">
        <f>IF($A874="",NA(),IF(R874&gt;0,0.5-(K874-L874)/(2*R874),0))</f>
        <v/>
      </c>
      <c r="T874" s="34">
        <f>IF($A874="",NA(),IF(R874&lt;=0,IF(K874&gt;L874,1,IF(K874&lt;L874,0,0.5)),1-NORMDIST(S874,P874+AJUSTE,SIGMA,TRUE)))</f>
        <v/>
      </c>
      <c r="U874" s="34">
        <f>IF($A874="",NA(),1-T874)</f>
        <v/>
      </c>
    </row>
    <row r="875">
      <c r="C875" s="33" t="n"/>
      <c r="D875" s="33" t="n"/>
      <c r="E875" s="33" t="n"/>
      <c r="F875" s="33" t="n"/>
      <c r="G875" s="33" t="n"/>
      <c r="H875" s="33" t="n"/>
      <c r="I875" s="33" t="n"/>
      <c r="J875" s="33" t="n"/>
      <c r="K875" s="33" t="n"/>
      <c r="L875" s="33" t="n"/>
      <c r="N875" s="34">
        <f>IF($A875="",NA(),IF(C875&gt;0,D875/C875,0))</f>
        <v/>
      </c>
      <c r="O875" s="34">
        <f>IF($A875="",NA(),IF(E875&gt;0,F875/E875,0))</f>
        <v/>
      </c>
      <c r="P875" s="34">
        <f>IF($A875="",NA(),IF(K875+L875&gt;0,K875/(K875+L875),0.5))</f>
        <v/>
      </c>
      <c r="Q875" s="34">
        <f>IF($A875="",NA(),1-P875)</f>
        <v/>
      </c>
      <c r="R875" s="33">
        <f>IF($A875="",NA(),MAX(0,E875-F875)*IF(G875&gt;0,H875/G875,COMPAREC_PAD)*IF(I875&gt;0,J875/I875,VALIDOS_PAD))</f>
        <v/>
      </c>
      <c r="S875" s="34">
        <f>IF($A875="",NA(),IF(R875&gt;0,0.5-(K875-L875)/(2*R875),0))</f>
        <v/>
      </c>
      <c r="T875" s="34">
        <f>IF($A875="",NA(),IF(R875&lt;=0,IF(K875&gt;L875,1,IF(K875&lt;L875,0,0.5)),1-NORMDIST(S875,P875+AJUSTE,SIGMA,TRUE)))</f>
        <v/>
      </c>
      <c r="U875" s="34">
        <f>IF($A875="",NA(),1-T875)</f>
        <v/>
      </c>
    </row>
    <row r="876"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3" t="n"/>
      <c r="N876" s="34">
        <f>IF($A876="",NA(),IF(C876&gt;0,D876/C876,0))</f>
        <v/>
      </c>
      <c r="O876" s="34">
        <f>IF($A876="",NA(),IF(E876&gt;0,F876/E876,0))</f>
        <v/>
      </c>
      <c r="P876" s="34">
        <f>IF($A876="",NA(),IF(K876+L876&gt;0,K876/(K876+L876),0.5))</f>
        <v/>
      </c>
      <c r="Q876" s="34">
        <f>IF($A876="",NA(),1-P876)</f>
        <v/>
      </c>
      <c r="R876" s="33">
        <f>IF($A876="",NA(),MAX(0,E876-F876)*IF(G876&gt;0,H876/G876,COMPAREC_PAD)*IF(I876&gt;0,J876/I876,VALIDOS_PAD))</f>
        <v/>
      </c>
      <c r="S876" s="34">
        <f>IF($A876="",NA(),IF(R876&gt;0,0.5-(K876-L876)/(2*R876),0))</f>
        <v/>
      </c>
      <c r="T876" s="34">
        <f>IF($A876="",NA(),IF(R876&lt;=0,IF(K876&gt;L876,1,IF(K876&lt;L876,0,0.5)),1-NORMDIST(S876,P876+AJUSTE,SIGMA,TRUE)))</f>
        <v/>
      </c>
      <c r="U876" s="34">
        <f>IF($A876="",NA(),1-T876)</f>
        <v/>
      </c>
    </row>
    <row r="877">
      <c r="C877" s="33" t="n"/>
      <c r="D877" s="33" t="n"/>
      <c r="E877" s="33" t="n"/>
      <c r="F877" s="33" t="n"/>
      <c r="G877" s="33" t="n"/>
      <c r="H877" s="33" t="n"/>
      <c r="I877" s="33" t="n"/>
      <c r="J877" s="33" t="n"/>
      <c r="K877" s="33" t="n"/>
      <c r="L877" s="33" t="n"/>
      <c r="N877" s="34">
        <f>IF($A877="",NA(),IF(C877&gt;0,D877/C877,0))</f>
        <v/>
      </c>
      <c r="O877" s="34">
        <f>IF($A877="",NA(),IF(E877&gt;0,F877/E877,0))</f>
        <v/>
      </c>
      <c r="P877" s="34">
        <f>IF($A877="",NA(),IF(K877+L877&gt;0,K877/(K877+L877),0.5))</f>
        <v/>
      </c>
      <c r="Q877" s="34">
        <f>IF($A877="",NA(),1-P877)</f>
        <v/>
      </c>
      <c r="R877" s="33">
        <f>IF($A877="",NA(),MAX(0,E877-F877)*IF(G877&gt;0,H877/G877,COMPAREC_PAD)*IF(I877&gt;0,J877/I877,VALIDOS_PAD))</f>
        <v/>
      </c>
      <c r="S877" s="34">
        <f>IF($A877="",NA(),IF(R877&gt;0,0.5-(K877-L877)/(2*R877),0))</f>
        <v/>
      </c>
      <c r="T877" s="34">
        <f>IF($A877="",NA(),IF(R877&lt;=0,IF(K877&gt;L877,1,IF(K877&lt;L877,0,0.5)),1-NORMDIST(S877,P877+AJUSTE,SIGMA,TRUE)))</f>
        <v/>
      </c>
      <c r="U877" s="34">
        <f>IF($A877="",NA(),1-T877)</f>
        <v/>
      </c>
    </row>
    <row r="878"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3" t="n"/>
      <c r="N878" s="34">
        <f>IF($A878="",NA(),IF(C878&gt;0,D878/C878,0))</f>
        <v/>
      </c>
      <c r="O878" s="34">
        <f>IF($A878="",NA(),IF(E878&gt;0,F878/E878,0))</f>
        <v/>
      </c>
      <c r="P878" s="34">
        <f>IF($A878="",NA(),IF(K878+L878&gt;0,K878/(K878+L878),0.5))</f>
        <v/>
      </c>
      <c r="Q878" s="34">
        <f>IF($A878="",NA(),1-P878)</f>
        <v/>
      </c>
      <c r="R878" s="33">
        <f>IF($A878="",NA(),MAX(0,E878-F878)*IF(G878&gt;0,H878/G878,COMPAREC_PAD)*IF(I878&gt;0,J878/I878,VALIDOS_PAD))</f>
        <v/>
      </c>
      <c r="S878" s="34">
        <f>IF($A878="",NA(),IF(R878&gt;0,0.5-(K878-L878)/(2*R878),0))</f>
        <v/>
      </c>
      <c r="T878" s="34">
        <f>IF($A878="",NA(),IF(R878&lt;=0,IF(K878&gt;L878,1,IF(K878&lt;L878,0,0.5)),1-NORMDIST(S878,P878+AJUSTE,SIGMA,TRUE)))</f>
        <v/>
      </c>
      <c r="U878" s="34">
        <f>IF($A878="",NA(),1-T878)</f>
        <v/>
      </c>
    </row>
    <row r="879">
      <c r="C879" s="33" t="n"/>
      <c r="D879" s="33" t="n"/>
      <c r="E879" s="33" t="n"/>
      <c r="F879" s="33" t="n"/>
      <c r="G879" s="33" t="n"/>
      <c r="H879" s="33" t="n"/>
      <c r="I879" s="33" t="n"/>
      <c r="J879" s="33" t="n"/>
      <c r="K879" s="33" t="n"/>
      <c r="L879" s="33" t="n"/>
      <c r="N879" s="34">
        <f>IF($A879="",NA(),IF(C879&gt;0,D879/C879,0))</f>
        <v/>
      </c>
      <c r="O879" s="34">
        <f>IF($A879="",NA(),IF(E879&gt;0,F879/E879,0))</f>
        <v/>
      </c>
      <c r="P879" s="34">
        <f>IF($A879="",NA(),IF(K879+L879&gt;0,K879/(K879+L879),0.5))</f>
        <v/>
      </c>
      <c r="Q879" s="34">
        <f>IF($A879="",NA(),1-P879)</f>
        <v/>
      </c>
      <c r="R879" s="33">
        <f>IF($A879="",NA(),MAX(0,E879-F879)*IF(G879&gt;0,H879/G879,COMPAREC_PAD)*IF(I879&gt;0,J879/I879,VALIDOS_PAD))</f>
        <v/>
      </c>
      <c r="S879" s="34">
        <f>IF($A879="",NA(),IF(R879&gt;0,0.5-(K879-L879)/(2*R879),0))</f>
        <v/>
      </c>
      <c r="T879" s="34">
        <f>IF($A879="",NA(),IF(R879&lt;=0,IF(K879&gt;L879,1,IF(K879&lt;L879,0,0.5)),1-NORMDIST(S879,P879+AJUSTE,SIGMA,TRUE)))</f>
        <v/>
      </c>
      <c r="U879" s="34">
        <f>IF($A879="",NA(),1-T879)</f>
        <v/>
      </c>
    </row>
    <row r="880"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3" t="n"/>
      <c r="N880" s="34">
        <f>IF($A880="",NA(),IF(C880&gt;0,D880/C880,0))</f>
        <v/>
      </c>
      <c r="O880" s="34">
        <f>IF($A880="",NA(),IF(E880&gt;0,F880/E880,0))</f>
        <v/>
      </c>
      <c r="P880" s="34">
        <f>IF($A880="",NA(),IF(K880+L880&gt;0,K880/(K880+L880),0.5))</f>
        <v/>
      </c>
      <c r="Q880" s="34">
        <f>IF($A880="",NA(),1-P880)</f>
        <v/>
      </c>
      <c r="R880" s="33">
        <f>IF($A880="",NA(),MAX(0,E880-F880)*IF(G880&gt;0,H880/G880,COMPAREC_PAD)*IF(I880&gt;0,J880/I880,VALIDOS_PAD))</f>
        <v/>
      </c>
      <c r="S880" s="34">
        <f>IF($A880="",NA(),IF(R880&gt;0,0.5-(K880-L880)/(2*R880),0))</f>
        <v/>
      </c>
      <c r="T880" s="34">
        <f>IF($A880="",NA(),IF(R880&lt;=0,IF(K880&gt;L880,1,IF(K880&lt;L880,0,0.5)),1-NORMDIST(S880,P880+AJUSTE,SIGMA,TRUE)))</f>
        <v/>
      </c>
      <c r="U880" s="34">
        <f>IF($A880="",NA(),1-T880)</f>
        <v/>
      </c>
    </row>
    <row r="881">
      <c r="C881" s="33" t="n"/>
      <c r="D881" s="33" t="n"/>
      <c r="E881" s="33" t="n"/>
      <c r="F881" s="33" t="n"/>
      <c r="G881" s="33" t="n"/>
      <c r="H881" s="33" t="n"/>
      <c r="I881" s="33" t="n"/>
      <c r="J881" s="33" t="n"/>
      <c r="K881" s="33" t="n"/>
      <c r="L881" s="33" t="n"/>
      <c r="N881" s="34">
        <f>IF($A881="",NA(),IF(C881&gt;0,D881/C881,0))</f>
        <v/>
      </c>
      <c r="O881" s="34">
        <f>IF($A881="",NA(),IF(E881&gt;0,F881/E881,0))</f>
        <v/>
      </c>
      <c r="P881" s="34">
        <f>IF($A881="",NA(),IF(K881+L881&gt;0,K881/(K881+L881),0.5))</f>
        <v/>
      </c>
      <c r="Q881" s="34">
        <f>IF($A881="",NA(),1-P881)</f>
        <v/>
      </c>
      <c r="R881" s="33">
        <f>IF($A881="",NA(),MAX(0,E881-F881)*IF(G881&gt;0,H881/G881,COMPAREC_PAD)*IF(I881&gt;0,J881/I881,VALIDOS_PAD))</f>
        <v/>
      </c>
      <c r="S881" s="34">
        <f>IF($A881="",NA(),IF(R881&gt;0,0.5-(K881-L881)/(2*R881),0))</f>
        <v/>
      </c>
      <c r="T881" s="34">
        <f>IF($A881="",NA(),IF(R881&lt;=0,IF(K881&gt;L881,1,IF(K881&lt;L881,0,0.5)),1-NORMDIST(S881,P881+AJUSTE,SIGMA,TRUE)))</f>
        <v/>
      </c>
      <c r="U881" s="34">
        <f>IF($A881="",NA(),1-T881)</f>
        <v/>
      </c>
    </row>
    <row r="882"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3" t="n"/>
      <c r="N882" s="34">
        <f>IF($A882="",NA(),IF(C882&gt;0,D882/C882,0))</f>
        <v/>
      </c>
      <c r="O882" s="34">
        <f>IF($A882="",NA(),IF(E882&gt;0,F882/E882,0))</f>
        <v/>
      </c>
      <c r="P882" s="34">
        <f>IF($A882="",NA(),IF(K882+L882&gt;0,K882/(K882+L882),0.5))</f>
        <v/>
      </c>
      <c r="Q882" s="34">
        <f>IF($A882="",NA(),1-P882)</f>
        <v/>
      </c>
      <c r="R882" s="33">
        <f>IF($A882="",NA(),MAX(0,E882-F882)*IF(G882&gt;0,H882/G882,COMPAREC_PAD)*IF(I882&gt;0,J882/I882,VALIDOS_PAD))</f>
        <v/>
      </c>
      <c r="S882" s="34">
        <f>IF($A882="",NA(),IF(R882&gt;0,0.5-(K882-L882)/(2*R882),0))</f>
        <v/>
      </c>
      <c r="T882" s="34">
        <f>IF($A882="",NA(),IF(R882&lt;=0,IF(K882&gt;L882,1,IF(K882&lt;L882,0,0.5)),1-NORMDIST(S882,P882+AJUSTE,SIGMA,TRUE)))</f>
        <v/>
      </c>
      <c r="U882" s="34">
        <f>IF($A882="",NA(),1-T882)</f>
        <v/>
      </c>
    </row>
    <row r="883">
      <c r="C883" s="33" t="n"/>
      <c r="D883" s="33" t="n"/>
      <c r="E883" s="33" t="n"/>
      <c r="F883" s="33" t="n"/>
      <c r="G883" s="33" t="n"/>
      <c r="H883" s="33" t="n"/>
      <c r="I883" s="33" t="n"/>
      <c r="J883" s="33" t="n"/>
      <c r="K883" s="33" t="n"/>
      <c r="L883" s="33" t="n"/>
      <c r="N883" s="34">
        <f>IF($A883="",NA(),IF(C883&gt;0,D883/C883,0))</f>
        <v/>
      </c>
      <c r="O883" s="34">
        <f>IF($A883="",NA(),IF(E883&gt;0,F883/E883,0))</f>
        <v/>
      </c>
      <c r="P883" s="34">
        <f>IF($A883="",NA(),IF(K883+L883&gt;0,K883/(K883+L883),0.5))</f>
        <v/>
      </c>
      <c r="Q883" s="34">
        <f>IF($A883="",NA(),1-P883)</f>
        <v/>
      </c>
      <c r="R883" s="33">
        <f>IF($A883="",NA(),MAX(0,E883-F883)*IF(G883&gt;0,H883/G883,COMPAREC_PAD)*IF(I883&gt;0,J883/I883,VALIDOS_PAD))</f>
        <v/>
      </c>
      <c r="S883" s="34">
        <f>IF($A883="",NA(),IF(R883&gt;0,0.5-(K883-L883)/(2*R883),0))</f>
        <v/>
      </c>
      <c r="T883" s="34">
        <f>IF($A883="",NA(),IF(R883&lt;=0,IF(K883&gt;L883,1,IF(K883&lt;L883,0,0.5)),1-NORMDIST(S883,P883+AJUSTE,SIGMA,TRUE)))</f>
        <v/>
      </c>
      <c r="U883" s="34">
        <f>IF($A883="",NA(),1-T883)</f>
        <v/>
      </c>
    </row>
    <row r="884"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3" t="n"/>
      <c r="N884" s="34">
        <f>IF($A884="",NA(),IF(C884&gt;0,D884/C884,0))</f>
        <v/>
      </c>
      <c r="O884" s="34">
        <f>IF($A884="",NA(),IF(E884&gt;0,F884/E884,0))</f>
        <v/>
      </c>
      <c r="P884" s="34">
        <f>IF($A884="",NA(),IF(K884+L884&gt;0,K884/(K884+L884),0.5))</f>
        <v/>
      </c>
      <c r="Q884" s="34">
        <f>IF($A884="",NA(),1-P884)</f>
        <v/>
      </c>
      <c r="R884" s="33">
        <f>IF($A884="",NA(),MAX(0,E884-F884)*IF(G884&gt;0,H884/G884,COMPAREC_PAD)*IF(I884&gt;0,J884/I884,VALIDOS_PAD))</f>
        <v/>
      </c>
      <c r="S884" s="34">
        <f>IF($A884="",NA(),IF(R884&gt;0,0.5-(K884-L884)/(2*R884),0))</f>
        <v/>
      </c>
      <c r="T884" s="34">
        <f>IF($A884="",NA(),IF(R884&lt;=0,IF(K884&gt;L884,1,IF(K884&lt;L884,0,0.5)),1-NORMDIST(S884,P884+AJUSTE,SIGMA,TRUE)))</f>
        <v/>
      </c>
      <c r="U884" s="34">
        <f>IF($A884="",NA(),1-T884)</f>
        <v/>
      </c>
    </row>
    <row r="885">
      <c r="C885" s="33" t="n"/>
      <c r="D885" s="33" t="n"/>
      <c r="E885" s="33" t="n"/>
      <c r="F885" s="33" t="n"/>
      <c r="G885" s="33" t="n"/>
      <c r="H885" s="33" t="n"/>
      <c r="I885" s="33" t="n"/>
      <c r="J885" s="33" t="n"/>
      <c r="K885" s="33" t="n"/>
      <c r="L885" s="33" t="n"/>
      <c r="N885" s="34">
        <f>IF($A885="",NA(),IF(C885&gt;0,D885/C885,0))</f>
        <v/>
      </c>
      <c r="O885" s="34">
        <f>IF($A885="",NA(),IF(E885&gt;0,F885/E885,0))</f>
        <v/>
      </c>
      <c r="P885" s="34">
        <f>IF($A885="",NA(),IF(K885+L885&gt;0,K885/(K885+L885),0.5))</f>
        <v/>
      </c>
      <c r="Q885" s="34">
        <f>IF($A885="",NA(),1-P885)</f>
        <v/>
      </c>
      <c r="R885" s="33">
        <f>IF($A885="",NA(),MAX(0,E885-F885)*IF(G885&gt;0,H885/G885,COMPAREC_PAD)*IF(I885&gt;0,J885/I885,VALIDOS_PAD))</f>
        <v/>
      </c>
      <c r="S885" s="34">
        <f>IF($A885="",NA(),IF(R885&gt;0,0.5-(K885-L885)/(2*R885),0))</f>
        <v/>
      </c>
      <c r="T885" s="34">
        <f>IF($A885="",NA(),IF(R885&lt;=0,IF(K885&gt;L885,1,IF(K885&lt;L885,0,0.5)),1-NORMDIST(S885,P885+AJUSTE,SIGMA,TRUE)))</f>
        <v/>
      </c>
      <c r="U885" s="34">
        <f>IF($A885="",NA(),1-T885)</f>
        <v/>
      </c>
    </row>
    <row r="886"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3" t="n"/>
      <c r="N886" s="34">
        <f>IF($A886="",NA(),IF(C886&gt;0,D886/C886,0))</f>
        <v/>
      </c>
      <c r="O886" s="34">
        <f>IF($A886="",NA(),IF(E886&gt;0,F886/E886,0))</f>
        <v/>
      </c>
      <c r="P886" s="34">
        <f>IF($A886="",NA(),IF(K886+L886&gt;0,K886/(K886+L886),0.5))</f>
        <v/>
      </c>
      <c r="Q886" s="34">
        <f>IF($A886="",NA(),1-P886)</f>
        <v/>
      </c>
      <c r="R886" s="33">
        <f>IF($A886="",NA(),MAX(0,E886-F886)*IF(G886&gt;0,H886/G886,COMPAREC_PAD)*IF(I886&gt;0,J886/I886,VALIDOS_PAD))</f>
        <v/>
      </c>
      <c r="S886" s="34">
        <f>IF($A886="",NA(),IF(R886&gt;0,0.5-(K886-L886)/(2*R886),0))</f>
        <v/>
      </c>
      <c r="T886" s="34">
        <f>IF($A886="",NA(),IF(R886&lt;=0,IF(K886&gt;L886,1,IF(K886&lt;L886,0,0.5)),1-NORMDIST(S886,P886+AJUSTE,SIGMA,TRUE)))</f>
        <v/>
      </c>
      <c r="U886" s="34">
        <f>IF($A886="",NA(),1-T886)</f>
        <v/>
      </c>
    </row>
    <row r="887">
      <c r="C887" s="33" t="n"/>
      <c r="D887" s="33" t="n"/>
      <c r="E887" s="33" t="n"/>
      <c r="F887" s="33" t="n"/>
      <c r="G887" s="33" t="n"/>
      <c r="H887" s="33" t="n"/>
      <c r="I887" s="33" t="n"/>
      <c r="J887" s="33" t="n"/>
      <c r="K887" s="33" t="n"/>
      <c r="L887" s="33" t="n"/>
      <c r="N887" s="34">
        <f>IF($A887="",NA(),IF(C887&gt;0,D887/C887,0))</f>
        <v/>
      </c>
      <c r="O887" s="34">
        <f>IF($A887="",NA(),IF(E887&gt;0,F887/E887,0))</f>
        <v/>
      </c>
      <c r="P887" s="34">
        <f>IF($A887="",NA(),IF(K887+L887&gt;0,K887/(K887+L887),0.5))</f>
        <v/>
      </c>
      <c r="Q887" s="34">
        <f>IF($A887="",NA(),1-P887)</f>
        <v/>
      </c>
      <c r="R887" s="33">
        <f>IF($A887="",NA(),MAX(0,E887-F887)*IF(G887&gt;0,H887/G887,COMPAREC_PAD)*IF(I887&gt;0,J887/I887,VALIDOS_PAD))</f>
        <v/>
      </c>
      <c r="S887" s="34">
        <f>IF($A887="",NA(),IF(R887&gt;0,0.5-(K887-L887)/(2*R887),0))</f>
        <v/>
      </c>
      <c r="T887" s="34">
        <f>IF($A887="",NA(),IF(R887&lt;=0,IF(K887&gt;L887,1,IF(K887&lt;L887,0,0.5)),1-NORMDIST(S887,P887+AJUSTE,SIGMA,TRUE)))</f>
        <v/>
      </c>
      <c r="U887" s="34">
        <f>IF($A887="",NA(),1-T887)</f>
        <v/>
      </c>
    </row>
    <row r="888"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3" t="n"/>
      <c r="N888" s="34">
        <f>IF($A888="",NA(),IF(C888&gt;0,D888/C888,0))</f>
        <v/>
      </c>
      <c r="O888" s="34">
        <f>IF($A888="",NA(),IF(E888&gt;0,F888/E888,0))</f>
        <v/>
      </c>
      <c r="P888" s="34">
        <f>IF($A888="",NA(),IF(K888+L888&gt;0,K888/(K888+L888),0.5))</f>
        <v/>
      </c>
      <c r="Q888" s="34">
        <f>IF($A888="",NA(),1-P888)</f>
        <v/>
      </c>
      <c r="R888" s="33">
        <f>IF($A888="",NA(),MAX(0,E888-F888)*IF(G888&gt;0,H888/G888,COMPAREC_PAD)*IF(I888&gt;0,J888/I888,VALIDOS_PAD))</f>
        <v/>
      </c>
      <c r="S888" s="34">
        <f>IF($A888="",NA(),IF(R888&gt;0,0.5-(K888-L888)/(2*R888),0))</f>
        <v/>
      </c>
      <c r="T888" s="34">
        <f>IF($A888="",NA(),IF(R888&lt;=0,IF(K888&gt;L888,1,IF(K888&lt;L888,0,0.5)),1-NORMDIST(S888,P888+AJUSTE,SIGMA,TRUE)))</f>
        <v/>
      </c>
      <c r="U888" s="34">
        <f>IF($A888="",NA(),1-T888)</f>
        <v/>
      </c>
    </row>
    <row r="889">
      <c r="C889" s="33" t="n"/>
      <c r="D889" s="33" t="n"/>
      <c r="E889" s="33" t="n"/>
      <c r="F889" s="33" t="n"/>
      <c r="G889" s="33" t="n"/>
      <c r="H889" s="33" t="n"/>
      <c r="I889" s="33" t="n"/>
      <c r="J889" s="33" t="n"/>
      <c r="K889" s="33" t="n"/>
      <c r="L889" s="33" t="n"/>
      <c r="N889" s="34">
        <f>IF($A889="",NA(),IF(C889&gt;0,D889/C889,0))</f>
        <v/>
      </c>
      <c r="O889" s="34">
        <f>IF($A889="",NA(),IF(E889&gt;0,F889/E889,0))</f>
        <v/>
      </c>
      <c r="P889" s="34">
        <f>IF($A889="",NA(),IF(K889+L889&gt;0,K889/(K889+L889),0.5))</f>
        <v/>
      </c>
      <c r="Q889" s="34">
        <f>IF($A889="",NA(),1-P889)</f>
        <v/>
      </c>
      <c r="R889" s="33">
        <f>IF($A889="",NA(),MAX(0,E889-F889)*IF(G889&gt;0,H889/G889,COMPAREC_PAD)*IF(I889&gt;0,J889/I889,VALIDOS_PAD))</f>
        <v/>
      </c>
      <c r="S889" s="34">
        <f>IF($A889="",NA(),IF(R889&gt;0,0.5-(K889-L889)/(2*R889),0))</f>
        <v/>
      </c>
      <c r="T889" s="34">
        <f>IF($A889="",NA(),IF(R889&lt;=0,IF(K889&gt;L889,1,IF(K889&lt;L889,0,0.5)),1-NORMDIST(S889,P889+AJUSTE,SIGMA,TRUE)))</f>
        <v/>
      </c>
      <c r="U889" s="34">
        <f>IF($A889="",NA(),1-T889)</f>
        <v/>
      </c>
    </row>
    <row r="890"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3" t="n"/>
      <c r="N890" s="34">
        <f>IF($A890="",NA(),IF(C890&gt;0,D890/C890,0))</f>
        <v/>
      </c>
      <c r="O890" s="34">
        <f>IF($A890="",NA(),IF(E890&gt;0,F890/E890,0))</f>
        <v/>
      </c>
      <c r="P890" s="34">
        <f>IF($A890="",NA(),IF(K890+L890&gt;0,K890/(K890+L890),0.5))</f>
        <v/>
      </c>
      <c r="Q890" s="34">
        <f>IF($A890="",NA(),1-P890)</f>
        <v/>
      </c>
      <c r="R890" s="33">
        <f>IF($A890="",NA(),MAX(0,E890-F890)*IF(G890&gt;0,H890/G890,COMPAREC_PAD)*IF(I890&gt;0,J890/I890,VALIDOS_PAD))</f>
        <v/>
      </c>
      <c r="S890" s="34">
        <f>IF($A890="",NA(),IF(R890&gt;0,0.5-(K890-L890)/(2*R890),0))</f>
        <v/>
      </c>
      <c r="T890" s="34">
        <f>IF($A890="",NA(),IF(R890&lt;=0,IF(K890&gt;L890,1,IF(K890&lt;L890,0,0.5)),1-NORMDIST(S890,P890+AJUSTE,SIGMA,TRUE)))</f>
        <v/>
      </c>
      <c r="U890" s="34">
        <f>IF($A890="",NA(),1-T890)</f>
        <v/>
      </c>
    </row>
    <row r="891">
      <c r="C891" s="33" t="n"/>
      <c r="D891" s="33" t="n"/>
      <c r="E891" s="33" t="n"/>
      <c r="F891" s="33" t="n"/>
      <c r="G891" s="33" t="n"/>
      <c r="H891" s="33" t="n"/>
      <c r="I891" s="33" t="n"/>
      <c r="J891" s="33" t="n"/>
      <c r="K891" s="33" t="n"/>
      <c r="L891" s="33" t="n"/>
      <c r="N891" s="34">
        <f>IF($A891="",NA(),IF(C891&gt;0,D891/C891,0))</f>
        <v/>
      </c>
      <c r="O891" s="34">
        <f>IF($A891="",NA(),IF(E891&gt;0,F891/E891,0))</f>
        <v/>
      </c>
      <c r="P891" s="34">
        <f>IF($A891="",NA(),IF(K891+L891&gt;0,K891/(K891+L891),0.5))</f>
        <v/>
      </c>
      <c r="Q891" s="34">
        <f>IF($A891="",NA(),1-P891)</f>
        <v/>
      </c>
      <c r="R891" s="33">
        <f>IF($A891="",NA(),MAX(0,E891-F891)*IF(G891&gt;0,H891/G891,COMPAREC_PAD)*IF(I891&gt;0,J891/I891,VALIDOS_PAD))</f>
        <v/>
      </c>
      <c r="S891" s="34">
        <f>IF($A891="",NA(),IF(R891&gt;0,0.5-(K891-L891)/(2*R891),0))</f>
        <v/>
      </c>
      <c r="T891" s="34">
        <f>IF($A891="",NA(),IF(R891&lt;=0,IF(K891&gt;L891,1,IF(K891&lt;L891,0,0.5)),1-NORMDIST(S891,P891+AJUSTE,SIGMA,TRUE)))</f>
        <v/>
      </c>
      <c r="U891" s="34">
        <f>IF($A891="",NA(),1-T891)</f>
        <v/>
      </c>
    </row>
    <row r="892"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3" t="n"/>
      <c r="N892" s="34">
        <f>IF($A892="",NA(),IF(C892&gt;0,D892/C892,0))</f>
        <v/>
      </c>
      <c r="O892" s="34">
        <f>IF($A892="",NA(),IF(E892&gt;0,F892/E892,0))</f>
        <v/>
      </c>
      <c r="P892" s="34">
        <f>IF($A892="",NA(),IF(K892+L892&gt;0,K892/(K892+L892),0.5))</f>
        <v/>
      </c>
      <c r="Q892" s="34">
        <f>IF($A892="",NA(),1-P892)</f>
        <v/>
      </c>
      <c r="R892" s="33">
        <f>IF($A892="",NA(),MAX(0,E892-F892)*IF(G892&gt;0,H892/G892,COMPAREC_PAD)*IF(I892&gt;0,J892/I892,VALIDOS_PAD))</f>
        <v/>
      </c>
      <c r="S892" s="34">
        <f>IF($A892="",NA(),IF(R892&gt;0,0.5-(K892-L892)/(2*R892),0))</f>
        <v/>
      </c>
      <c r="T892" s="34">
        <f>IF($A892="",NA(),IF(R892&lt;=0,IF(K892&gt;L892,1,IF(K892&lt;L892,0,0.5)),1-NORMDIST(S892,P892+AJUSTE,SIGMA,TRUE)))</f>
        <v/>
      </c>
      <c r="U892" s="34">
        <f>IF($A892="",NA(),1-T892)</f>
        <v/>
      </c>
    </row>
    <row r="893">
      <c r="C893" s="33" t="n"/>
      <c r="D893" s="33" t="n"/>
      <c r="E893" s="33" t="n"/>
      <c r="F893" s="33" t="n"/>
      <c r="G893" s="33" t="n"/>
      <c r="H893" s="33" t="n"/>
      <c r="I893" s="33" t="n"/>
      <c r="J893" s="33" t="n"/>
      <c r="K893" s="33" t="n"/>
      <c r="L893" s="33" t="n"/>
      <c r="N893" s="34">
        <f>IF($A893="",NA(),IF(C893&gt;0,D893/C893,0))</f>
        <v/>
      </c>
      <c r="O893" s="34">
        <f>IF($A893="",NA(),IF(E893&gt;0,F893/E893,0))</f>
        <v/>
      </c>
      <c r="P893" s="34">
        <f>IF($A893="",NA(),IF(K893+L893&gt;0,K893/(K893+L893),0.5))</f>
        <v/>
      </c>
      <c r="Q893" s="34">
        <f>IF($A893="",NA(),1-P893)</f>
        <v/>
      </c>
      <c r="R893" s="33">
        <f>IF($A893="",NA(),MAX(0,E893-F893)*IF(G893&gt;0,H893/G893,COMPAREC_PAD)*IF(I893&gt;0,J893/I893,VALIDOS_PAD))</f>
        <v/>
      </c>
      <c r="S893" s="34">
        <f>IF($A893="",NA(),IF(R893&gt;0,0.5-(K893-L893)/(2*R893),0))</f>
        <v/>
      </c>
      <c r="T893" s="34">
        <f>IF($A893="",NA(),IF(R893&lt;=0,IF(K893&gt;L893,1,IF(K893&lt;L893,0,0.5)),1-NORMDIST(S893,P893+AJUSTE,SIGMA,TRUE)))</f>
        <v/>
      </c>
      <c r="U893" s="34">
        <f>IF($A893="",NA(),1-T893)</f>
        <v/>
      </c>
    </row>
    <row r="894"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3" t="n"/>
      <c r="N894" s="34">
        <f>IF($A894="",NA(),IF(C894&gt;0,D894/C894,0))</f>
        <v/>
      </c>
      <c r="O894" s="34">
        <f>IF($A894="",NA(),IF(E894&gt;0,F894/E894,0))</f>
        <v/>
      </c>
      <c r="P894" s="34">
        <f>IF($A894="",NA(),IF(K894+L894&gt;0,K894/(K894+L894),0.5))</f>
        <v/>
      </c>
      <c r="Q894" s="34">
        <f>IF($A894="",NA(),1-P894)</f>
        <v/>
      </c>
      <c r="R894" s="33">
        <f>IF($A894="",NA(),MAX(0,E894-F894)*IF(G894&gt;0,H894/G894,COMPAREC_PAD)*IF(I894&gt;0,J894/I894,VALIDOS_PAD))</f>
        <v/>
      </c>
      <c r="S894" s="34">
        <f>IF($A894="",NA(),IF(R894&gt;0,0.5-(K894-L894)/(2*R894),0))</f>
        <v/>
      </c>
      <c r="T894" s="34">
        <f>IF($A894="",NA(),IF(R894&lt;=0,IF(K894&gt;L894,1,IF(K894&lt;L894,0,0.5)),1-NORMDIST(S894,P894+AJUSTE,SIGMA,TRUE)))</f>
        <v/>
      </c>
      <c r="U894" s="34">
        <f>IF($A894="",NA(),1-T894)</f>
        <v/>
      </c>
    </row>
    <row r="895">
      <c r="C895" s="33" t="n"/>
      <c r="D895" s="33" t="n"/>
      <c r="E895" s="33" t="n"/>
      <c r="F895" s="33" t="n"/>
      <c r="G895" s="33" t="n"/>
      <c r="H895" s="33" t="n"/>
      <c r="I895" s="33" t="n"/>
      <c r="J895" s="33" t="n"/>
      <c r="K895" s="33" t="n"/>
      <c r="L895" s="33" t="n"/>
      <c r="N895" s="34">
        <f>IF($A895="",NA(),IF(C895&gt;0,D895/C895,0))</f>
        <v/>
      </c>
      <c r="O895" s="34">
        <f>IF($A895="",NA(),IF(E895&gt;0,F895/E895,0))</f>
        <v/>
      </c>
      <c r="P895" s="34">
        <f>IF($A895="",NA(),IF(K895+L895&gt;0,K895/(K895+L895),0.5))</f>
        <v/>
      </c>
      <c r="Q895" s="34">
        <f>IF($A895="",NA(),1-P895)</f>
        <v/>
      </c>
      <c r="R895" s="33">
        <f>IF($A895="",NA(),MAX(0,E895-F895)*IF(G895&gt;0,H895/G895,COMPAREC_PAD)*IF(I895&gt;0,J895/I895,VALIDOS_PAD))</f>
        <v/>
      </c>
      <c r="S895" s="34">
        <f>IF($A895="",NA(),IF(R895&gt;0,0.5-(K895-L895)/(2*R895),0))</f>
        <v/>
      </c>
      <c r="T895" s="34">
        <f>IF($A895="",NA(),IF(R895&lt;=0,IF(K895&gt;L895,1,IF(K895&lt;L895,0,0.5)),1-NORMDIST(S895,P895+AJUSTE,SIGMA,TRUE)))</f>
        <v/>
      </c>
      <c r="U895" s="34">
        <f>IF($A895="",NA(),1-T895)</f>
        <v/>
      </c>
    </row>
    <row r="896"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3" t="n"/>
      <c r="N896" s="34">
        <f>IF($A896="",NA(),IF(C896&gt;0,D896/C896,0))</f>
        <v/>
      </c>
      <c r="O896" s="34">
        <f>IF($A896="",NA(),IF(E896&gt;0,F896/E896,0))</f>
        <v/>
      </c>
      <c r="P896" s="34">
        <f>IF($A896="",NA(),IF(K896+L896&gt;0,K896/(K896+L896),0.5))</f>
        <v/>
      </c>
      <c r="Q896" s="34">
        <f>IF($A896="",NA(),1-P896)</f>
        <v/>
      </c>
      <c r="R896" s="33">
        <f>IF($A896="",NA(),MAX(0,E896-F896)*IF(G896&gt;0,H896/G896,COMPAREC_PAD)*IF(I896&gt;0,J896/I896,VALIDOS_PAD))</f>
        <v/>
      </c>
      <c r="S896" s="34">
        <f>IF($A896="",NA(),IF(R896&gt;0,0.5-(K896-L896)/(2*R896),0))</f>
        <v/>
      </c>
      <c r="T896" s="34">
        <f>IF($A896="",NA(),IF(R896&lt;=0,IF(K896&gt;L896,1,IF(K896&lt;L896,0,0.5)),1-NORMDIST(S896,P896+AJUSTE,SIGMA,TRUE)))</f>
        <v/>
      </c>
      <c r="U896" s="34">
        <f>IF($A896="",NA(),1-T896)</f>
        <v/>
      </c>
    </row>
    <row r="897">
      <c r="C897" s="33" t="n"/>
      <c r="D897" s="33" t="n"/>
      <c r="E897" s="33" t="n"/>
      <c r="F897" s="33" t="n"/>
      <c r="G897" s="33" t="n"/>
      <c r="H897" s="33" t="n"/>
      <c r="I897" s="33" t="n"/>
      <c r="J897" s="33" t="n"/>
      <c r="K897" s="33" t="n"/>
      <c r="L897" s="33" t="n"/>
      <c r="N897" s="34">
        <f>IF($A897="",NA(),IF(C897&gt;0,D897/C897,0))</f>
        <v/>
      </c>
      <c r="O897" s="34">
        <f>IF($A897="",NA(),IF(E897&gt;0,F897/E897,0))</f>
        <v/>
      </c>
      <c r="P897" s="34">
        <f>IF($A897="",NA(),IF(K897+L897&gt;0,K897/(K897+L897),0.5))</f>
        <v/>
      </c>
      <c r="Q897" s="34">
        <f>IF($A897="",NA(),1-P897)</f>
        <v/>
      </c>
      <c r="R897" s="33">
        <f>IF($A897="",NA(),MAX(0,E897-F897)*IF(G897&gt;0,H897/G897,COMPAREC_PAD)*IF(I897&gt;0,J897/I897,VALIDOS_PAD))</f>
        <v/>
      </c>
      <c r="S897" s="34">
        <f>IF($A897="",NA(),IF(R897&gt;0,0.5-(K897-L897)/(2*R897),0))</f>
        <v/>
      </c>
      <c r="T897" s="34">
        <f>IF($A897="",NA(),IF(R897&lt;=0,IF(K897&gt;L897,1,IF(K897&lt;L897,0,0.5)),1-NORMDIST(S897,P897+AJUSTE,SIGMA,TRUE)))</f>
        <v/>
      </c>
      <c r="U897" s="34">
        <f>IF($A897="",NA(),1-T897)</f>
        <v/>
      </c>
    </row>
    <row r="898"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3" t="n"/>
      <c r="N898" s="34">
        <f>IF($A898="",NA(),IF(C898&gt;0,D898/C898,0))</f>
        <v/>
      </c>
      <c r="O898" s="34">
        <f>IF($A898="",NA(),IF(E898&gt;0,F898/E898,0))</f>
        <v/>
      </c>
      <c r="P898" s="34">
        <f>IF($A898="",NA(),IF(K898+L898&gt;0,K898/(K898+L898),0.5))</f>
        <v/>
      </c>
      <c r="Q898" s="34">
        <f>IF($A898="",NA(),1-P898)</f>
        <v/>
      </c>
      <c r="R898" s="33">
        <f>IF($A898="",NA(),MAX(0,E898-F898)*IF(G898&gt;0,H898/G898,COMPAREC_PAD)*IF(I898&gt;0,J898/I898,VALIDOS_PAD))</f>
        <v/>
      </c>
      <c r="S898" s="34">
        <f>IF($A898="",NA(),IF(R898&gt;0,0.5-(K898-L898)/(2*R898),0))</f>
        <v/>
      </c>
      <c r="T898" s="34">
        <f>IF($A898="",NA(),IF(R898&lt;=0,IF(K898&gt;L898,1,IF(K898&lt;L898,0,0.5)),1-NORMDIST(S898,P898+AJUSTE,SIGMA,TRUE)))</f>
        <v/>
      </c>
      <c r="U898" s="34">
        <f>IF($A898="",NA(),1-T898)</f>
        <v/>
      </c>
    </row>
    <row r="899">
      <c r="C899" s="33" t="n"/>
      <c r="D899" s="33" t="n"/>
      <c r="E899" s="33" t="n"/>
      <c r="F899" s="33" t="n"/>
      <c r="G899" s="33" t="n"/>
      <c r="H899" s="33" t="n"/>
      <c r="I899" s="33" t="n"/>
      <c r="J899" s="33" t="n"/>
      <c r="K899" s="33" t="n"/>
      <c r="L899" s="33" t="n"/>
      <c r="N899" s="34">
        <f>IF($A899="",NA(),IF(C899&gt;0,D899/C899,0))</f>
        <v/>
      </c>
      <c r="O899" s="34">
        <f>IF($A899="",NA(),IF(E899&gt;0,F899/E899,0))</f>
        <v/>
      </c>
      <c r="P899" s="34">
        <f>IF($A899="",NA(),IF(K899+L899&gt;0,K899/(K899+L899),0.5))</f>
        <v/>
      </c>
      <c r="Q899" s="34">
        <f>IF($A899="",NA(),1-P899)</f>
        <v/>
      </c>
      <c r="R899" s="33">
        <f>IF($A899="",NA(),MAX(0,E899-F899)*IF(G899&gt;0,H899/G899,COMPAREC_PAD)*IF(I899&gt;0,J899/I899,VALIDOS_PAD))</f>
        <v/>
      </c>
      <c r="S899" s="34">
        <f>IF($A899="",NA(),IF(R899&gt;0,0.5-(K899-L899)/(2*R899),0))</f>
        <v/>
      </c>
      <c r="T899" s="34">
        <f>IF($A899="",NA(),IF(R899&lt;=0,IF(K899&gt;L899,1,IF(K899&lt;L899,0,0.5)),1-NORMDIST(S899,P899+AJUSTE,SIGMA,TRUE)))</f>
        <v/>
      </c>
      <c r="U899" s="34">
        <f>IF($A899="",NA(),1-T899)</f>
        <v/>
      </c>
    </row>
    <row r="900"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3" t="n"/>
      <c r="N900" s="34">
        <f>IF($A900="",NA(),IF(C900&gt;0,D900/C900,0))</f>
        <v/>
      </c>
      <c r="O900" s="34">
        <f>IF($A900="",NA(),IF(E900&gt;0,F900/E900,0))</f>
        <v/>
      </c>
      <c r="P900" s="34">
        <f>IF($A900="",NA(),IF(K900+L900&gt;0,K900/(K900+L900),0.5))</f>
        <v/>
      </c>
      <c r="Q900" s="34">
        <f>IF($A900="",NA(),1-P900)</f>
        <v/>
      </c>
      <c r="R900" s="33">
        <f>IF($A900="",NA(),MAX(0,E900-F900)*IF(G900&gt;0,H900/G900,COMPAREC_PAD)*IF(I900&gt;0,J900/I900,VALIDOS_PAD))</f>
        <v/>
      </c>
      <c r="S900" s="34">
        <f>IF($A900="",NA(),IF(R900&gt;0,0.5-(K900-L900)/(2*R900),0))</f>
        <v/>
      </c>
      <c r="T900" s="34">
        <f>IF($A900="",NA(),IF(R900&lt;=0,IF(K900&gt;L900,1,IF(K900&lt;L900,0,0.5)),1-NORMDIST(S900,P900+AJUSTE,SIGMA,TRUE)))</f>
        <v/>
      </c>
      <c r="U900" s="34">
        <f>IF($A900="",NA(),1-T900)</f>
        <v/>
      </c>
    </row>
    <row r="901">
      <c r="C901" s="33" t="n"/>
      <c r="D901" s="33" t="n"/>
      <c r="E901" s="33" t="n"/>
      <c r="F901" s="33" t="n"/>
      <c r="G901" s="33" t="n"/>
      <c r="H901" s="33" t="n"/>
      <c r="I901" s="33" t="n"/>
      <c r="J901" s="33" t="n"/>
      <c r="K901" s="33" t="n"/>
      <c r="L901" s="33" t="n"/>
      <c r="N901" s="34">
        <f>IF($A901="",NA(),IF(C901&gt;0,D901/C901,0))</f>
        <v/>
      </c>
      <c r="O901" s="34">
        <f>IF($A901="",NA(),IF(E901&gt;0,F901/E901,0))</f>
        <v/>
      </c>
      <c r="P901" s="34">
        <f>IF($A901="",NA(),IF(K901+L901&gt;0,K901/(K901+L901),0.5))</f>
        <v/>
      </c>
      <c r="Q901" s="34">
        <f>IF($A901="",NA(),1-P901)</f>
        <v/>
      </c>
      <c r="R901" s="33">
        <f>IF($A901="",NA(),MAX(0,E901-F901)*IF(G901&gt;0,H901/G901,COMPAREC_PAD)*IF(I901&gt;0,J901/I901,VALIDOS_PAD))</f>
        <v/>
      </c>
      <c r="S901" s="34">
        <f>IF($A901="",NA(),IF(R901&gt;0,0.5-(K901-L901)/(2*R901),0))</f>
        <v/>
      </c>
      <c r="T901" s="34">
        <f>IF($A901="",NA(),IF(R901&lt;=0,IF(K901&gt;L901,1,IF(K901&lt;L901,0,0.5)),1-NORMDIST(S901,P901+AJUSTE,SIGMA,TRUE)))</f>
        <v/>
      </c>
      <c r="U901" s="34">
        <f>IF($A901="",NA(),1-T901)</f>
        <v/>
      </c>
    </row>
    <row r="902"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3" t="n"/>
      <c r="N902" s="34">
        <f>IF($A902="",NA(),IF(C902&gt;0,D902/C902,0))</f>
        <v/>
      </c>
      <c r="O902" s="34">
        <f>IF($A902="",NA(),IF(E902&gt;0,F902/E902,0))</f>
        <v/>
      </c>
      <c r="P902" s="34">
        <f>IF($A902="",NA(),IF(K902+L902&gt;0,K902/(K902+L902),0.5))</f>
        <v/>
      </c>
      <c r="Q902" s="34">
        <f>IF($A902="",NA(),1-P902)</f>
        <v/>
      </c>
      <c r="R902" s="33">
        <f>IF($A902="",NA(),MAX(0,E902-F902)*IF(G902&gt;0,H902/G902,COMPAREC_PAD)*IF(I902&gt;0,J902/I902,VALIDOS_PAD))</f>
        <v/>
      </c>
      <c r="S902" s="34">
        <f>IF($A902="",NA(),IF(R902&gt;0,0.5-(K902-L902)/(2*R902),0))</f>
        <v/>
      </c>
      <c r="T902" s="34">
        <f>IF($A902="",NA(),IF(R902&lt;=0,IF(K902&gt;L902,1,IF(K902&lt;L902,0,0.5)),1-NORMDIST(S902,P902+AJUSTE,SIGMA,TRUE)))</f>
        <v/>
      </c>
      <c r="U902" s="34">
        <f>IF($A902="",NA(),1-T902)</f>
        <v/>
      </c>
    </row>
    <row r="903">
      <c r="C903" s="33" t="n"/>
      <c r="D903" s="33" t="n"/>
      <c r="E903" s="33" t="n"/>
      <c r="F903" s="33" t="n"/>
      <c r="G903" s="33" t="n"/>
      <c r="H903" s="33" t="n"/>
      <c r="I903" s="33" t="n"/>
      <c r="J903" s="33" t="n"/>
      <c r="K903" s="33" t="n"/>
      <c r="L903" s="33" t="n"/>
      <c r="N903" s="34">
        <f>IF($A903="",NA(),IF(C903&gt;0,D903/C903,0))</f>
        <v/>
      </c>
      <c r="O903" s="34">
        <f>IF($A903="",NA(),IF(E903&gt;0,F903/E903,0))</f>
        <v/>
      </c>
      <c r="P903" s="34">
        <f>IF($A903="",NA(),IF(K903+L903&gt;0,K903/(K903+L903),0.5))</f>
        <v/>
      </c>
      <c r="Q903" s="34">
        <f>IF($A903="",NA(),1-P903)</f>
        <v/>
      </c>
      <c r="R903" s="33">
        <f>IF($A903="",NA(),MAX(0,E903-F903)*IF(G903&gt;0,H903/G903,COMPAREC_PAD)*IF(I903&gt;0,J903/I903,VALIDOS_PAD))</f>
        <v/>
      </c>
      <c r="S903" s="34">
        <f>IF($A903="",NA(),IF(R903&gt;0,0.5-(K903-L903)/(2*R903),0))</f>
        <v/>
      </c>
      <c r="T903" s="34">
        <f>IF($A903="",NA(),IF(R903&lt;=0,IF(K903&gt;L903,1,IF(K903&lt;L903,0,0.5)),1-NORMDIST(S903,P903+AJUSTE,SIGMA,TRUE)))</f>
        <v/>
      </c>
      <c r="U903" s="34">
        <f>IF($A903="",NA(),1-T903)</f>
        <v/>
      </c>
    </row>
    <row r="904"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3" t="n"/>
      <c r="N904" s="34">
        <f>IF($A904="",NA(),IF(C904&gt;0,D904/C904,0))</f>
        <v/>
      </c>
      <c r="O904" s="34">
        <f>IF($A904="",NA(),IF(E904&gt;0,F904/E904,0))</f>
        <v/>
      </c>
      <c r="P904" s="34">
        <f>IF($A904="",NA(),IF(K904+L904&gt;0,K904/(K904+L904),0.5))</f>
        <v/>
      </c>
      <c r="Q904" s="34">
        <f>IF($A904="",NA(),1-P904)</f>
        <v/>
      </c>
      <c r="R904" s="33">
        <f>IF($A904="",NA(),MAX(0,E904-F904)*IF(G904&gt;0,H904/G904,COMPAREC_PAD)*IF(I904&gt;0,J904/I904,VALIDOS_PAD))</f>
        <v/>
      </c>
      <c r="S904" s="34">
        <f>IF($A904="",NA(),IF(R904&gt;0,0.5-(K904-L904)/(2*R904),0))</f>
        <v/>
      </c>
      <c r="T904" s="34">
        <f>IF($A904="",NA(),IF(R904&lt;=0,IF(K904&gt;L904,1,IF(K904&lt;L904,0,0.5)),1-NORMDIST(S904,P904+AJUSTE,SIGMA,TRUE)))</f>
        <v/>
      </c>
      <c r="U904" s="34">
        <f>IF($A904="",NA(),1-T904)</f>
        <v/>
      </c>
    </row>
    <row r="905">
      <c r="C905" s="33" t="n"/>
      <c r="D905" s="33" t="n"/>
      <c r="E905" s="33" t="n"/>
      <c r="F905" s="33" t="n"/>
      <c r="G905" s="33" t="n"/>
      <c r="H905" s="33" t="n"/>
      <c r="I905" s="33" t="n"/>
      <c r="J905" s="33" t="n"/>
      <c r="K905" s="33" t="n"/>
      <c r="L905" s="33" t="n"/>
      <c r="N905" s="34">
        <f>IF($A905="",NA(),IF(C905&gt;0,D905/C905,0))</f>
        <v/>
      </c>
      <c r="O905" s="34">
        <f>IF($A905="",NA(),IF(E905&gt;0,F905/E905,0))</f>
        <v/>
      </c>
      <c r="P905" s="34">
        <f>IF($A905="",NA(),IF(K905+L905&gt;0,K905/(K905+L905),0.5))</f>
        <v/>
      </c>
      <c r="Q905" s="34">
        <f>IF($A905="",NA(),1-P905)</f>
        <v/>
      </c>
      <c r="R905" s="33">
        <f>IF($A905="",NA(),MAX(0,E905-F905)*IF(G905&gt;0,H905/G905,COMPAREC_PAD)*IF(I905&gt;0,J905/I905,VALIDOS_PAD))</f>
        <v/>
      </c>
      <c r="S905" s="34">
        <f>IF($A905="",NA(),IF(R905&gt;0,0.5-(K905-L905)/(2*R905),0))</f>
        <v/>
      </c>
      <c r="T905" s="34">
        <f>IF($A905="",NA(),IF(R905&lt;=0,IF(K905&gt;L905,1,IF(K905&lt;L905,0,0.5)),1-NORMDIST(S905,P905+AJUSTE,SIGMA,TRUE)))</f>
        <v/>
      </c>
      <c r="U905" s="34">
        <f>IF($A905="",NA(),1-T905)</f>
        <v/>
      </c>
    </row>
    <row r="906"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3" t="n"/>
      <c r="N906" s="34">
        <f>IF($A906="",NA(),IF(C906&gt;0,D906/C906,0))</f>
        <v/>
      </c>
      <c r="O906" s="34">
        <f>IF($A906="",NA(),IF(E906&gt;0,F906/E906,0))</f>
        <v/>
      </c>
      <c r="P906" s="34">
        <f>IF($A906="",NA(),IF(K906+L906&gt;0,K906/(K906+L906),0.5))</f>
        <v/>
      </c>
      <c r="Q906" s="34">
        <f>IF($A906="",NA(),1-P906)</f>
        <v/>
      </c>
      <c r="R906" s="33">
        <f>IF($A906="",NA(),MAX(0,E906-F906)*IF(G906&gt;0,H906/G906,COMPAREC_PAD)*IF(I906&gt;0,J906/I906,VALIDOS_PAD))</f>
        <v/>
      </c>
      <c r="S906" s="34">
        <f>IF($A906="",NA(),IF(R906&gt;0,0.5-(K906-L906)/(2*R906),0))</f>
        <v/>
      </c>
      <c r="T906" s="34">
        <f>IF($A906="",NA(),IF(R906&lt;=0,IF(K906&gt;L906,1,IF(K906&lt;L906,0,0.5)),1-NORMDIST(S906,P906+AJUSTE,SIGMA,TRUE)))</f>
        <v/>
      </c>
      <c r="U906" s="34">
        <f>IF($A906="",NA(),1-T906)</f>
        <v/>
      </c>
    </row>
    <row r="907">
      <c r="C907" s="33" t="n"/>
      <c r="D907" s="33" t="n"/>
      <c r="E907" s="33" t="n"/>
      <c r="F907" s="33" t="n"/>
      <c r="G907" s="33" t="n"/>
      <c r="H907" s="33" t="n"/>
      <c r="I907" s="33" t="n"/>
      <c r="J907" s="33" t="n"/>
      <c r="K907" s="33" t="n"/>
      <c r="L907" s="33" t="n"/>
      <c r="N907" s="34">
        <f>IF($A907="",NA(),IF(C907&gt;0,D907/C907,0))</f>
        <v/>
      </c>
      <c r="O907" s="34">
        <f>IF($A907="",NA(),IF(E907&gt;0,F907/E907,0))</f>
        <v/>
      </c>
      <c r="P907" s="34">
        <f>IF($A907="",NA(),IF(K907+L907&gt;0,K907/(K907+L907),0.5))</f>
        <v/>
      </c>
      <c r="Q907" s="34">
        <f>IF($A907="",NA(),1-P907)</f>
        <v/>
      </c>
      <c r="R907" s="33">
        <f>IF($A907="",NA(),MAX(0,E907-F907)*IF(G907&gt;0,H907/G907,COMPAREC_PAD)*IF(I907&gt;0,J907/I907,VALIDOS_PAD))</f>
        <v/>
      </c>
      <c r="S907" s="34">
        <f>IF($A907="",NA(),IF(R907&gt;0,0.5-(K907-L907)/(2*R907),0))</f>
        <v/>
      </c>
      <c r="T907" s="34">
        <f>IF($A907="",NA(),IF(R907&lt;=0,IF(K907&gt;L907,1,IF(K907&lt;L907,0,0.5)),1-NORMDIST(S907,P907+AJUSTE,SIGMA,TRUE)))</f>
        <v/>
      </c>
      <c r="U907" s="34">
        <f>IF($A907="",NA(),1-T907)</f>
        <v/>
      </c>
    </row>
    <row r="908"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3" t="n"/>
      <c r="N908" s="34">
        <f>IF($A908="",NA(),IF(C908&gt;0,D908/C908,0))</f>
        <v/>
      </c>
      <c r="O908" s="34">
        <f>IF($A908="",NA(),IF(E908&gt;0,F908/E908,0))</f>
        <v/>
      </c>
      <c r="P908" s="34">
        <f>IF($A908="",NA(),IF(K908+L908&gt;0,K908/(K908+L908),0.5))</f>
        <v/>
      </c>
      <c r="Q908" s="34">
        <f>IF($A908="",NA(),1-P908)</f>
        <v/>
      </c>
      <c r="R908" s="33">
        <f>IF($A908="",NA(),MAX(0,E908-F908)*IF(G908&gt;0,H908/G908,COMPAREC_PAD)*IF(I908&gt;0,J908/I908,VALIDOS_PAD))</f>
        <v/>
      </c>
      <c r="S908" s="34">
        <f>IF($A908="",NA(),IF(R908&gt;0,0.5-(K908-L908)/(2*R908),0))</f>
        <v/>
      </c>
      <c r="T908" s="34">
        <f>IF($A908="",NA(),IF(R908&lt;=0,IF(K908&gt;L908,1,IF(K908&lt;L908,0,0.5)),1-NORMDIST(S908,P908+AJUSTE,SIGMA,TRUE)))</f>
        <v/>
      </c>
      <c r="U908" s="34">
        <f>IF($A908="",NA(),1-T908)</f>
        <v/>
      </c>
    </row>
    <row r="909">
      <c r="C909" s="33" t="n"/>
      <c r="D909" s="33" t="n"/>
      <c r="E909" s="33" t="n"/>
      <c r="F909" s="33" t="n"/>
      <c r="G909" s="33" t="n"/>
      <c r="H909" s="33" t="n"/>
      <c r="I909" s="33" t="n"/>
      <c r="J909" s="33" t="n"/>
      <c r="K909" s="33" t="n"/>
      <c r="L909" s="33" t="n"/>
      <c r="N909" s="34">
        <f>IF($A909="",NA(),IF(C909&gt;0,D909/C909,0))</f>
        <v/>
      </c>
      <c r="O909" s="34">
        <f>IF($A909="",NA(),IF(E909&gt;0,F909/E909,0))</f>
        <v/>
      </c>
      <c r="P909" s="34">
        <f>IF($A909="",NA(),IF(K909+L909&gt;0,K909/(K909+L909),0.5))</f>
        <v/>
      </c>
      <c r="Q909" s="34">
        <f>IF($A909="",NA(),1-P909)</f>
        <v/>
      </c>
      <c r="R909" s="33">
        <f>IF($A909="",NA(),MAX(0,E909-F909)*IF(G909&gt;0,H909/G909,COMPAREC_PAD)*IF(I909&gt;0,J909/I909,VALIDOS_PAD))</f>
        <v/>
      </c>
      <c r="S909" s="34">
        <f>IF($A909="",NA(),IF(R909&gt;0,0.5-(K909-L909)/(2*R909),0))</f>
        <v/>
      </c>
      <c r="T909" s="34">
        <f>IF($A909="",NA(),IF(R909&lt;=0,IF(K909&gt;L909,1,IF(K909&lt;L909,0,0.5)),1-NORMDIST(S909,P909+AJUSTE,SIGMA,TRUE)))</f>
        <v/>
      </c>
      <c r="U909" s="34">
        <f>IF($A909="",NA(),1-T909)</f>
        <v/>
      </c>
    </row>
    <row r="910"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3" t="n"/>
      <c r="N910" s="34">
        <f>IF($A910="",NA(),IF(C910&gt;0,D910/C910,0))</f>
        <v/>
      </c>
      <c r="O910" s="34">
        <f>IF($A910="",NA(),IF(E910&gt;0,F910/E910,0))</f>
        <v/>
      </c>
      <c r="P910" s="34">
        <f>IF($A910="",NA(),IF(K910+L910&gt;0,K910/(K910+L910),0.5))</f>
        <v/>
      </c>
      <c r="Q910" s="34">
        <f>IF($A910="",NA(),1-P910)</f>
        <v/>
      </c>
      <c r="R910" s="33">
        <f>IF($A910="",NA(),MAX(0,E910-F910)*IF(G910&gt;0,H910/G910,COMPAREC_PAD)*IF(I910&gt;0,J910/I910,VALIDOS_PAD))</f>
        <v/>
      </c>
      <c r="S910" s="34">
        <f>IF($A910="",NA(),IF(R910&gt;0,0.5-(K910-L910)/(2*R910),0))</f>
        <v/>
      </c>
      <c r="T910" s="34">
        <f>IF($A910="",NA(),IF(R910&lt;=0,IF(K910&gt;L910,1,IF(K910&lt;L910,0,0.5)),1-NORMDIST(S910,P910+AJUSTE,SIGMA,TRUE)))</f>
        <v/>
      </c>
      <c r="U910" s="34">
        <f>IF($A910="",NA(),1-T910)</f>
        <v/>
      </c>
    </row>
    <row r="911">
      <c r="C911" s="33" t="n"/>
      <c r="D911" s="33" t="n"/>
      <c r="E911" s="33" t="n"/>
      <c r="F911" s="33" t="n"/>
      <c r="G911" s="33" t="n"/>
      <c r="H911" s="33" t="n"/>
      <c r="I911" s="33" t="n"/>
      <c r="J911" s="33" t="n"/>
      <c r="K911" s="33" t="n"/>
      <c r="L911" s="33" t="n"/>
      <c r="N911" s="34">
        <f>IF($A911="",NA(),IF(C911&gt;0,D911/C911,0))</f>
        <v/>
      </c>
      <c r="O911" s="34">
        <f>IF($A911="",NA(),IF(E911&gt;0,F911/E911,0))</f>
        <v/>
      </c>
      <c r="P911" s="34">
        <f>IF($A911="",NA(),IF(K911+L911&gt;0,K911/(K911+L911),0.5))</f>
        <v/>
      </c>
      <c r="Q911" s="34">
        <f>IF($A911="",NA(),1-P911)</f>
        <v/>
      </c>
      <c r="R911" s="33">
        <f>IF($A911="",NA(),MAX(0,E911-F911)*IF(G911&gt;0,H911/G911,COMPAREC_PAD)*IF(I911&gt;0,J911/I911,VALIDOS_PAD))</f>
        <v/>
      </c>
      <c r="S911" s="34">
        <f>IF($A911="",NA(),IF(R911&gt;0,0.5-(K911-L911)/(2*R911),0))</f>
        <v/>
      </c>
      <c r="T911" s="34">
        <f>IF($A911="",NA(),IF(R911&lt;=0,IF(K911&gt;L911,1,IF(K911&lt;L911,0,0.5)),1-NORMDIST(S911,P911+AJUSTE,SIGMA,TRUE)))</f>
        <v/>
      </c>
      <c r="U911" s="34">
        <f>IF($A911="",NA(),1-T911)</f>
        <v/>
      </c>
    </row>
    <row r="912"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3" t="n"/>
      <c r="N912" s="34">
        <f>IF($A912="",NA(),IF(C912&gt;0,D912/C912,0))</f>
        <v/>
      </c>
      <c r="O912" s="34">
        <f>IF($A912="",NA(),IF(E912&gt;0,F912/E912,0))</f>
        <v/>
      </c>
      <c r="P912" s="34">
        <f>IF($A912="",NA(),IF(K912+L912&gt;0,K912/(K912+L912),0.5))</f>
        <v/>
      </c>
      <c r="Q912" s="34">
        <f>IF($A912="",NA(),1-P912)</f>
        <v/>
      </c>
      <c r="R912" s="33">
        <f>IF($A912="",NA(),MAX(0,E912-F912)*IF(G912&gt;0,H912/G912,COMPAREC_PAD)*IF(I912&gt;0,J912/I912,VALIDOS_PAD))</f>
        <v/>
      </c>
      <c r="S912" s="34">
        <f>IF($A912="",NA(),IF(R912&gt;0,0.5-(K912-L912)/(2*R912),0))</f>
        <v/>
      </c>
      <c r="T912" s="34">
        <f>IF($A912="",NA(),IF(R912&lt;=0,IF(K912&gt;L912,1,IF(K912&lt;L912,0,0.5)),1-NORMDIST(S912,P912+AJUSTE,SIGMA,TRUE)))</f>
        <v/>
      </c>
      <c r="U912" s="34">
        <f>IF($A912="",NA(),1-T912)</f>
        <v/>
      </c>
    </row>
    <row r="913">
      <c r="C913" s="33" t="n"/>
      <c r="D913" s="33" t="n"/>
      <c r="E913" s="33" t="n"/>
      <c r="F913" s="33" t="n"/>
      <c r="G913" s="33" t="n"/>
      <c r="H913" s="33" t="n"/>
      <c r="I913" s="33" t="n"/>
      <c r="J913" s="33" t="n"/>
      <c r="K913" s="33" t="n"/>
      <c r="L913" s="33" t="n"/>
      <c r="N913" s="34">
        <f>IF($A913="",NA(),IF(C913&gt;0,D913/C913,0))</f>
        <v/>
      </c>
      <c r="O913" s="34">
        <f>IF($A913="",NA(),IF(E913&gt;0,F913/E913,0))</f>
        <v/>
      </c>
      <c r="P913" s="34">
        <f>IF($A913="",NA(),IF(K913+L913&gt;0,K913/(K913+L913),0.5))</f>
        <v/>
      </c>
      <c r="Q913" s="34">
        <f>IF($A913="",NA(),1-P913)</f>
        <v/>
      </c>
      <c r="R913" s="33">
        <f>IF($A913="",NA(),MAX(0,E913-F913)*IF(G913&gt;0,H913/G913,COMPAREC_PAD)*IF(I913&gt;0,J913/I913,VALIDOS_PAD))</f>
        <v/>
      </c>
      <c r="S913" s="34">
        <f>IF($A913="",NA(),IF(R913&gt;0,0.5-(K913-L913)/(2*R913),0))</f>
        <v/>
      </c>
      <c r="T913" s="34">
        <f>IF($A913="",NA(),IF(R913&lt;=0,IF(K913&gt;L913,1,IF(K913&lt;L913,0,0.5)),1-NORMDIST(S913,P913+AJUSTE,SIGMA,TRUE)))</f>
        <v/>
      </c>
      <c r="U913" s="34">
        <f>IF($A913="",NA(),1-T913)</f>
        <v/>
      </c>
    </row>
    <row r="914"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3" t="n"/>
      <c r="N914" s="34">
        <f>IF($A914="",NA(),IF(C914&gt;0,D914/C914,0))</f>
        <v/>
      </c>
      <c r="O914" s="34">
        <f>IF($A914="",NA(),IF(E914&gt;0,F914/E914,0))</f>
        <v/>
      </c>
      <c r="P914" s="34">
        <f>IF($A914="",NA(),IF(K914+L914&gt;0,K914/(K914+L914),0.5))</f>
        <v/>
      </c>
      <c r="Q914" s="34">
        <f>IF($A914="",NA(),1-P914)</f>
        <v/>
      </c>
      <c r="R914" s="33">
        <f>IF($A914="",NA(),MAX(0,E914-F914)*IF(G914&gt;0,H914/G914,COMPAREC_PAD)*IF(I914&gt;0,J914/I914,VALIDOS_PAD))</f>
        <v/>
      </c>
      <c r="S914" s="34">
        <f>IF($A914="",NA(),IF(R914&gt;0,0.5-(K914-L914)/(2*R914),0))</f>
        <v/>
      </c>
      <c r="T914" s="34">
        <f>IF($A914="",NA(),IF(R914&lt;=0,IF(K914&gt;L914,1,IF(K914&lt;L914,0,0.5)),1-NORMDIST(S914,P914+AJUSTE,SIGMA,TRUE)))</f>
        <v/>
      </c>
      <c r="U914" s="34">
        <f>IF($A914="",NA(),1-T914)</f>
        <v/>
      </c>
    </row>
    <row r="915">
      <c r="C915" s="33" t="n"/>
      <c r="D915" s="33" t="n"/>
      <c r="E915" s="33" t="n"/>
      <c r="F915" s="33" t="n"/>
      <c r="G915" s="33" t="n"/>
      <c r="H915" s="33" t="n"/>
      <c r="I915" s="33" t="n"/>
      <c r="J915" s="33" t="n"/>
      <c r="K915" s="33" t="n"/>
      <c r="L915" s="33" t="n"/>
      <c r="N915" s="34">
        <f>IF($A915="",NA(),IF(C915&gt;0,D915/C915,0))</f>
        <v/>
      </c>
      <c r="O915" s="34">
        <f>IF($A915="",NA(),IF(E915&gt;0,F915/E915,0))</f>
        <v/>
      </c>
      <c r="P915" s="34">
        <f>IF($A915="",NA(),IF(K915+L915&gt;0,K915/(K915+L915),0.5))</f>
        <v/>
      </c>
      <c r="Q915" s="34">
        <f>IF($A915="",NA(),1-P915)</f>
        <v/>
      </c>
      <c r="R915" s="33">
        <f>IF($A915="",NA(),MAX(0,E915-F915)*IF(G915&gt;0,H915/G915,COMPAREC_PAD)*IF(I915&gt;0,J915/I915,VALIDOS_PAD))</f>
        <v/>
      </c>
      <c r="S915" s="34">
        <f>IF($A915="",NA(),IF(R915&gt;0,0.5-(K915-L915)/(2*R915),0))</f>
        <v/>
      </c>
      <c r="T915" s="34">
        <f>IF($A915="",NA(),IF(R915&lt;=0,IF(K915&gt;L915,1,IF(K915&lt;L915,0,0.5)),1-NORMDIST(S915,P915+AJUSTE,SIGMA,TRUE)))</f>
        <v/>
      </c>
      <c r="U915" s="34">
        <f>IF($A915="",NA(),1-T915)</f>
        <v/>
      </c>
    </row>
    <row r="916"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3" t="n"/>
      <c r="N916" s="34">
        <f>IF($A916="",NA(),IF(C916&gt;0,D916/C916,0))</f>
        <v/>
      </c>
      <c r="O916" s="34">
        <f>IF($A916="",NA(),IF(E916&gt;0,F916/E916,0))</f>
        <v/>
      </c>
      <c r="P916" s="34">
        <f>IF($A916="",NA(),IF(K916+L916&gt;0,K916/(K916+L916),0.5))</f>
        <v/>
      </c>
      <c r="Q916" s="34">
        <f>IF($A916="",NA(),1-P916)</f>
        <v/>
      </c>
      <c r="R916" s="33">
        <f>IF($A916="",NA(),MAX(0,E916-F916)*IF(G916&gt;0,H916/G916,COMPAREC_PAD)*IF(I916&gt;0,J916/I916,VALIDOS_PAD))</f>
        <v/>
      </c>
      <c r="S916" s="34">
        <f>IF($A916="",NA(),IF(R916&gt;0,0.5-(K916-L916)/(2*R916),0))</f>
        <v/>
      </c>
      <c r="T916" s="34">
        <f>IF($A916="",NA(),IF(R916&lt;=0,IF(K916&gt;L916,1,IF(K916&lt;L916,0,0.5)),1-NORMDIST(S916,P916+AJUSTE,SIGMA,TRUE)))</f>
        <v/>
      </c>
      <c r="U916" s="34">
        <f>IF($A916="",NA(),1-T916)</f>
        <v/>
      </c>
    </row>
    <row r="917">
      <c r="C917" s="33" t="n"/>
      <c r="D917" s="33" t="n"/>
      <c r="E917" s="33" t="n"/>
      <c r="F917" s="33" t="n"/>
      <c r="G917" s="33" t="n"/>
      <c r="H917" s="33" t="n"/>
      <c r="I917" s="33" t="n"/>
      <c r="J917" s="33" t="n"/>
      <c r="K917" s="33" t="n"/>
      <c r="L917" s="33" t="n"/>
      <c r="N917" s="34">
        <f>IF($A917="",NA(),IF(C917&gt;0,D917/C917,0))</f>
        <v/>
      </c>
      <c r="O917" s="34">
        <f>IF($A917="",NA(),IF(E917&gt;0,F917/E917,0))</f>
        <v/>
      </c>
      <c r="P917" s="34">
        <f>IF($A917="",NA(),IF(K917+L917&gt;0,K917/(K917+L917),0.5))</f>
        <v/>
      </c>
      <c r="Q917" s="34">
        <f>IF($A917="",NA(),1-P917)</f>
        <v/>
      </c>
      <c r="R917" s="33">
        <f>IF($A917="",NA(),MAX(0,E917-F917)*IF(G917&gt;0,H917/G917,COMPAREC_PAD)*IF(I917&gt;0,J917/I917,VALIDOS_PAD))</f>
        <v/>
      </c>
      <c r="S917" s="34">
        <f>IF($A917="",NA(),IF(R917&gt;0,0.5-(K917-L917)/(2*R917),0))</f>
        <v/>
      </c>
      <c r="T917" s="34">
        <f>IF($A917="",NA(),IF(R917&lt;=0,IF(K917&gt;L917,1,IF(K917&lt;L917,0,0.5)),1-NORMDIST(S917,P917+AJUSTE,SIGMA,TRUE)))</f>
        <v/>
      </c>
      <c r="U917" s="34">
        <f>IF($A917="",NA(),1-T917)</f>
        <v/>
      </c>
    </row>
    <row r="918"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3" t="n"/>
      <c r="N918" s="34">
        <f>IF($A918="",NA(),IF(C918&gt;0,D918/C918,0))</f>
        <v/>
      </c>
      <c r="O918" s="34">
        <f>IF($A918="",NA(),IF(E918&gt;0,F918/E918,0))</f>
        <v/>
      </c>
      <c r="P918" s="34">
        <f>IF($A918="",NA(),IF(K918+L918&gt;0,K918/(K918+L918),0.5))</f>
        <v/>
      </c>
      <c r="Q918" s="34">
        <f>IF($A918="",NA(),1-P918)</f>
        <v/>
      </c>
      <c r="R918" s="33">
        <f>IF($A918="",NA(),MAX(0,E918-F918)*IF(G918&gt;0,H918/G918,COMPAREC_PAD)*IF(I918&gt;0,J918/I918,VALIDOS_PAD))</f>
        <v/>
      </c>
      <c r="S918" s="34">
        <f>IF($A918="",NA(),IF(R918&gt;0,0.5-(K918-L918)/(2*R918),0))</f>
        <v/>
      </c>
      <c r="T918" s="34">
        <f>IF($A918="",NA(),IF(R918&lt;=0,IF(K918&gt;L918,1,IF(K918&lt;L918,0,0.5)),1-NORMDIST(S918,P918+AJUSTE,SIGMA,TRUE)))</f>
        <v/>
      </c>
      <c r="U918" s="34">
        <f>IF($A918="",NA(),1-T918)</f>
        <v/>
      </c>
    </row>
    <row r="919">
      <c r="C919" s="33" t="n"/>
      <c r="D919" s="33" t="n"/>
      <c r="E919" s="33" t="n"/>
      <c r="F919" s="33" t="n"/>
      <c r="G919" s="33" t="n"/>
      <c r="H919" s="33" t="n"/>
      <c r="I919" s="33" t="n"/>
      <c r="J919" s="33" t="n"/>
      <c r="K919" s="33" t="n"/>
      <c r="L919" s="33" t="n"/>
      <c r="N919" s="34">
        <f>IF($A919="",NA(),IF(C919&gt;0,D919/C919,0))</f>
        <v/>
      </c>
      <c r="O919" s="34">
        <f>IF($A919="",NA(),IF(E919&gt;0,F919/E919,0))</f>
        <v/>
      </c>
      <c r="P919" s="34">
        <f>IF($A919="",NA(),IF(K919+L919&gt;0,K919/(K919+L919),0.5))</f>
        <v/>
      </c>
      <c r="Q919" s="34">
        <f>IF($A919="",NA(),1-P919)</f>
        <v/>
      </c>
      <c r="R919" s="33">
        <f>IF($A919="",NA(),MAX(0,E919-F919)*IF(G919&gt;0,H919/G919,COMPAREC_PAD)*IF(I919&gt;0,J919/I919,VALIDOS_PAD))</f>
        <v/>
      </c>
      <c r="S919" s="34">
        <f>IF($A919="",NA(),IF(R919&gt;0,0.5-(K919-L919)/(2*R919),0))</f>
        <v/>
      </c>
      <c r="T919" s="34">
        <f>IF($A919="",NA(),IF(R919&lt;=0,IF(K919&gt;L919,1,IF(K919&lt;L919,0,0.5)),1-NORMDIST(S919,P919+AJUSTE,SIGMA,TRUE)))</f>
        <v/>
      </c>
      <c r="U919" s="34">
        <f>IF($A919="",NA(),1-T919)</f>
        <v/>
      </c>
    </row>
    <row r="920"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3" t="n"/>
      <c r="N920" s="34">
        <f>IF($A920="",NA(),IF(C920&gt;0,D920/C920,0))</f>
        <v/>
      </c>
      <c r="O920" s="34">
        <f>IF($A920="",NA(),IF(E920&gt;0,F920/E920,0))</f>
        <v/>
      </c>
      <c r="P920" s="34">
        <f>IF($A920="",NA(),IF(K920+L920&gt;0,K920/(K920+L920),0.5))</f>
        <v/>
      </c>
      <c r="Q920" s="34">
        <f>IF($A920="",NA(),1-P920)</f>
        <v/>
      </c>
      <c r="R920" s="33">
        <f>IF($A920="",NA(),MAX(0,E920-F920)*IF(G920&gt;0,H920/G920,COMPAREC_PAD)*IF(I920&gt;0,J920/I920,VALIDOS_PAD))</f>
        <v/>
      </c>
      <c r="S920" s="34">
        <f>IF($A920="",NA(),IF(R920&gt;0,0.5-(K920-L920)/(2*R920),0))</f>
        <v/>
      </c>
      <c r="T920" s="34">
        <f>IF($A920="",NA(),IF(R920&lt;=0,IF(K920&gt;L920,1,IF(K920&lt;L920,0,0.5)),1-NORMDIST(S920,P920+AJUSTE,SIGMA,TRUE)))</f>
        <v/>
      </c>
      <c r="U920" s="34">
        <f>IF($A920="",NA(),1-T920)</f>
        <v/>
      </c>
    </row>
    <row r="921">
      <c r="C921" s="33" t="n"/>
      <c r="D921" s="33" t="n"/>
      <c r="E921" s="33" t="n"/>
      <c r="F921" s="33" t="n"/>
      <c r="G921" s="33" t="n"/>
      <c r="H921" s="33" t="n"/>
      <c r="I921" s="33" t="n"/>
      <c r="J921" s="33" t="n"/>
      <c r="K921" s="33" t="n"/>
      <c r="L921" s="33" t="n"/>
      <c r="N921" s="34">
        <f>IF($A921="",NA(),IF(C921&gt;0,D921/C921,0))</f>
        <v/>
      </c>
      <c r="O921" s="34">
        <f>IF($A921="",NA(),IF(E921&gt;0,F921/E921,0))</f>
        <v/>
      </c>
      <c r="P921" s="34">
        <f>IF($A921="",NA(),IF(K921+L921&gt;0,K921/(K921+L921),0.5))</f>
        <v/>
      </c>
      <c r="Q921" s="34">
        <f>IF($A921="",NA(),1-P921)</f>
        <v/>
      </c>
      <c r="R921" s="33">
        <f>IF($A921="",NA(),MAX(0,E921-F921)*IF(G921&gt;0,H921/G921,COMPAREC_PAD)*IF(I921&gt;0,J921/I921,VALIDOS_PAD))</f>
        <v/>
      </c>
      <c r="S921" s="34">
        <f>IF($A921="",NA(),IF(R921&gt;0,0.5-(K921-L921)/(2*R921),0))</f>
        <v/>
      </c>
      <c r="T921" s="34">
        <f>IF($A921="",NA(),IF(R921&lt;=0,IF(K921&gt;L921,1,IF(K921&lt;L921,0,0.5)),1-NORMDIST(S921,P921+AJUSTE,SIGMA,TRUE)))</f>
        <v/>
      </c>
      <c r="U921" s="34">
        <f>IF($A921="",NA(),1-T921)</f>
        <v/>
      </c>
    </row>
    <row r="922"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3" t="n"/>
      <c r="N922" s="34">
        <f>IF($A922="",NA(),IF(C922&gt;0,D922/C922,0))</f>
        <v/>
      </c>
      <c r="O922" s="34">
        <f>IF($A922="",NA(),IF(E922&gt;0,F922/E922,0))</f>
        <v/>
      </c>
      <c r="P922" s="34">
        <f>IF($A922="",NA(),IF(K922+L922&gt;0,K922/(K922+L922),0.5))</f>
        <v/>
      </c>
      <c r="Q922" s="34">
        <f>IF($A922="",NA(),1-P922)</f>
        <v/>
      </c>
      <c r="R922" s="33">
        <f>IF($A922="",NA(),MAX(0,E922-F922)*IF(G922&gt;0,H922/G922,COMPAREC_PAD)*IF(I922&gt;0,J922/I922,VALIDOS_PAD))</f>
        <v/>
      </c>
      <c r="S922" s="34">
        <f>IF($A922="",NA(),IF(R922&gt;0,0.5-(K922-L922)/(2*R922),0))</f>
        <v/>
      </c>
      <c r="T922" s="34">
        <f>IF($A922="",NA(),IF(R922&lt;=0,IF(K922&gt;L922,1,IF(K922&lt;L922,0,0.5)),1-NORMDIST(S922,P922+AJUSTE,SIGMA,TRUE)))</f>
        <v/>
      </c>
      <c r="U922" s="34">
        <f>IF($A922="",NA(),1-T922)</f>
        <v/>
      </c>
    </row>
    <row r="923">
      <c r="C923" s="33" t="n"/>
      <c r="D923" s="33" t="n"/>
      <c r="E923" s="33" t="n"/>
      <c r="F923" s="33" t="n"/>
      <c r="G923" s="33" t="n"/>
      <c r="H923" s="33" t="n"/>
      <c r="I923" s="33" t="n"/>
      <c r="J923" s="33" t="n"/>
      <c r="K923" s="33" t="n"/>
      <c r="L923" s="33" t="n"/>
      <c r="N923" s="34">
        <f>IF($A923="",NA(),IF(C923&gt;0,D923/C923,0))</f>
        <v/>
      </c>
      <c r="O923" s="34">
        <f>IF($A923="",NA(),IF(E923&gt;0,F923/E923,0))</f>
        <v/>
      </c>
      <c r="P923" s="34">
        <f>IF($A923="",NA(),IF(K923+L923&gt;0,K923/(K923+L923),0.5))</f>
        <v/>
      </c>
      <c r="Q923" s="34">
        <f>IF($A923="",NA(),1-P923)</f>
        <v/>
      </c>
      <c r="R923" s="33">
        <f>IF($A923="",NA(),MAX(0,E923-F923)*IF(G923&gt;0,H923/G923,COMPAREC_PAD)*IF(I923&gt;0,J923/I923,VALIDOS_PAD))</f>
        <v/>
      </c>
      <c r="S923" s="34">
        <f>IF($A923="",NA(),IF(R923&gt;0,0.5-(K923-L923)/(2*R923),0))</f>
        <v/>
      </c>
      <c r="T923" s="34">
        <f>IF($A923="",NA(),IF(R923&lt;=0,IF(K923&gt;L923,1,IF(K923&lt;L923,0,0.5)),1-NORMDIST(S923,P923+AJUSTE,SIGMA,TRUE)))</f>
        <v/>
      </c>
      <c r="U923" s="34">
        <f>IF($A923="",NA(),1-T923)</f>
        <v/>
      </c>
    </row>
    <row r="924"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3" t="n"/>
      <c r="N924" s="34">
        <f>IF($A924="",NA(),IF(C924&gt;0,D924/C924,0))</f>
        <v/>
      </c>
      <c r="O924" s="34">
        <f>IF($A924="",NA(),IF(E924&gt;0,F924/E924,0))</f>
        <v/>
      </c>
      <c r="P924" s="34">
        <f>IF($A924="",NA(),IF(K924+L924&gt;0,K924/(K924+L924),0.5))</f>
        <v/>
      </c>
      <c r="Q924" s="34">
        <f>IF($A924="",NA(),1-P924)</f>
        <v/>
      </c>
      <c r="R924" s="33">
        <f>IF($A924="",NA(),MAX(0,E924-F924)*IF(G924&gt;0,H924/G924,COMPAREC_PAD)*IF(I924&gt;0,J924/I924,VALIDOS_PAD))</f>
        <v/>
      </c>
      <c r="S924" s="34">
        <f>IF($A924="",NA(),IF(R924&gt;0,0.5-(K924-L924)/(2*R924),0))</f>
        <v/>
      </c>
      <c r="T924" s="34">
        <f>IF($A924="",NA(),IF(R924&lt;=0,IF(K924&gt;L924,1,IF(K924&lt;L924,0,0.5)),1-NORMDIST(S924,P924+AJUSTE,SIGMA,TRUE)))</f>
        <v/>
      </c>
      <c r="U924" s="34">
        <f>IF($A924="",NA(),1-T924)</f>
        <v/>
      </c>
    </row>
    <row r="925">
      <c r="C925" s="33" t="n"/>
      <c r="D925" s="33" t="n"/>
      <c r="E925" s="33" t="n"/>
      <c r="F925" s="33" t="n"/>
      <c r="G925" s="33" t="n"/>
      <c r="H925" s="33" t="n"/>
      <c r="I925" s="33" t="n"/>
      <c r="J925" s="33" t="n"/>
      <c r="K925" s="33" t="n"/>
      <c r="L925" s="33" t="n"/>
      <c r="N925" s="34">
        <f>IF($A925="",NA(),IF(C925&gt;0,D925/C925,0))</f>
        <v/>
      </c>
      <c r="O925" s="34">
        <f>IF($A925="",NA(),IF(E925&gt;0,F925/E925,0))</f>
        <v/>
      </c>
      <c r="P925" s="34">
        <f>IF($A925="",NA(),IF(K925+L925&gt;0,K925/(K925+L925),0.5))</f>
        <v/>
      </c>
      <c r="Q925" s="34">
        <f>IF($A925="",NA(),1-P925)</f>
        <v/>
      </c>
      <c r="R925" s="33">
        <f>IF($A925="",NA(),MAX(0,E925-F925)*IF(G925&gt;0,H925/G925,COMPAREC_PAD)*IF(I925&gt;0,J925/I925,VALIDOS_PAD))</f>
        <v/>
      </c>
      <c r="S925" s="34">
        <f>IF($A925="",NA(),IF(R925&gt;0,0.5-(K925-L925)/(2*R925),0))</f>
        <v/>
      </c>
      <c r="T925" s="34">
        <f>IF($A925="",NA(),IF(R925&lt;=0,IF(K925&gt;L925,1,IF(K925&lt;L925,0,0.5)),1-NORMDIST(S925,P925+AJUSTE,SIGMA,TRUE)))</f>
        <v/>
      </c>
      <c r="U925" s="34">
        <f>IF($A925="",NA(),1-T925)</f>
        <v/>
      </c>
    </row>
    <row r="926"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3" t="n"/>
      <c r="N926" s="34">
        <f>IF($A926="",NA(),IF(C926&gt;0,D926/C926,0))</f>
        <v/>
      </c>
      <c r="O926" s="34">
        <f>IF($A926="",NA(),IF(E926&gt;0,F926/E926,0))</f>
        <v/>
      </c>
      <c r="P926" s="34">
        <f>IF($A926="",NA(),IF(K926+L926&gt;0,K926/(K926+L926),0.5))</f>
        <v/>
      </c>
      <c r="Q926" s="34">
        <f>IF($A926="",NA(),1-P926)</f>
        <v/>
      </c>
      <c r="R926" s="33">
        <f>IF($A926="",NA(),MAX(0,E926-F926)*IF(G926&gt;0,H926/G926,COMPAREC_PAD)*IF(I926&gt;0,J926/I926,VALIDOS_PAD))</f>
        <v/>
      </c>
      <c r="S926" s="34">
        <f>IF($A926="",NA(),IF(R926&gt;0,0.5-(K926-L926)/(2*R926),0))</f>
        <v/>
      </c>
      <c r="T926" s="34">
        <f>IF($A926="",NA(),IF(R926&lt;=0,IF(K926&gt;L926,1,IF(K926&lt;L926,0,0.5)),1-NORMDIST(S926,P926+AJUSTE,SIGMA,TRUE)))</f>
        <v/>
      </c>
      <c r="U926" s="34">
        <f>IF($A926="",NA(),1-T926)</f>
        <v/>
      </c>
    </row>
    <row r="927">
      <c r="C927" s="33" t="n"/>
      <c r="D927" s="33" t="n"/>
      <c r="E927" s="33" t="n"/>
      <c r="F927" s="33" t="n"/>
      <c r="G927" s="33" t="n"/>
      <c r="H927" s="33" t="n"/>
      <c r="I927" s="33" t="n"/>
      <c r="J927" s="33" t="n"/>
      <c r="K927" s="33" t="n"/>
      <c r="L927" s="33" t="n"/>
      <c r="N927" s="34">
        <f>IF($A927="",NA(),IF(C927&gt;0,D927/C927,0))</f>
        <v/>
      </c>
      <c r="O927" s="34">
        <f>IF($A927="",NA(),IF(E927&gt;0,F927/E927,0))</f>
        <v/>
      </c>
      <c r="P927" s="34">
        <f>IF($A927="",NA(),IF(K927+L927&gt;0,K927/(K927+L927),0.5))</f>
        <v/>
      </c>
      <c r="Q927" s="34">
        <f>IF($A927="",NA(),1-P927)</f>
        <v/>
      </c>
      <c r="R927" s="33">
        <f>IF($A927="",NA(),MAX(0,E927-F927)*IF(G927&gt;0,H927/G927,COMPAREC_PAD)*IF(I927&gt;0,J927/I927,VALIDOS_PAD))</f>
        <v/>
      </c>
      <c r="S927" s="34">
        <f>IF($A927="",NA(),IF(R927&gt;0,0.5-(K927-L927)/(2*R927),0))</f>
        <v/>
      </c>
      <c r="T927" s="34">
        <f>IF($A927="",NA(),IF(R927&lt;=0,IF(K927&gt;L927,1,IF(K927&lt;L927,0,0.5)),1-NORMDIST(S927,P927+AJUSTE,SIGMA,TRUE)))</f>
        <v/>
      </c>
      <c r="U927" s="34">
        <f>IF($A927="",NA(),1-T927)</f>
        <v/>
      </c>
    </row>
    <row r="928"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3" t="n"/>
      <c r="N928" s="34">
        <f>IF($A928="",NA(),IF(C928&gt;0,D928/C928,0))</f>
        <v/>
      </c>
      <c r="O928" s="34">
        <f>IF($A928="",NA(),IF(E928&gt;0,F928/E928,0))</f>
        <v/>
      </c>
      <c r="P928" s="34">
        <f>IF($A928="",NA(),IF(K928+L928&gt;0,K928/(K928+L928),0.5))</f>
        <v/>
      </c>
      <c r="Q928" s="34">
        <f>IF($A928="",NA(),1-P928)</f>
        <v/>
      </c>
      <c r="R928" s="33">
        <f>IF($A928="",NA(),MAX(0,E928-F928)*IF(G928&gt;0,H928/G928,COMPAREC_PAD)*IF(I928&gt;0,J928/I928,VALIDOS_PAD))</f>
        <v/>
      </c>
      <c r="S928" s="34">
        <f>IF($A928="",NA(),IF(R928&gt;0,0.5-(K928-L928)/(2*R928),0))</f>
        <v/>
      </c>
      <c r="T928" s="34">
        <f>IF($A928="",NA(),IF(R928&lt;=0,IF(K928&gt;L928,1,IF(K928&lt;L928,0,0.5)),1-NORMDIST(S928,P928+AJUSTE,SIGMA,TRUE)))</f>
        <v/>
      </c>
      <c r="U928" s="34">
        <f>IF($A928="",NA(),1-T928)</f>
        <v/>
      </c>
    </row>
    <row r="929">
      <c r="C929" s="33" t="n"/>
      <c r="D929" s="33" t="n"/>
      <c r="E929" s="33" t="n"/>
      <c r="F929" s="33" t="n"/>
      <c r="G929" s="33" t="n"/>
      <c r="H929" s="33" t="n"/>
      <c r="I929" s="33" t="n"/>
      <c r="J929" s="33" t="n"/>
      <c r="K929" s="33" t="n"/>
      <c r="L929" s="33" t="n"/>
      <c r="N929" s="34">
        <f>IF($A929="",NA(),IF(C929&gt;0,D929/C929,0))</f>
        <v/>
      </c>
      <c r="O929" s="34">
        <f>IF($A929="",NA(),IF(E929&gt;0,F929/E929,0))</f>
        <v/>
      </c>
      <c r="P929" s="34">
        <f>IF($A929="",NA(),IF(K929+L929&gt;0,K929/(K929+L929),0.5))</f>
        <v/>
      </c>
      <c r="Q929" s="34">
        <f>IF($A929="",NA(),1-P929)</f>
        <v/>
      </c>
      <c r="R929" s="33">
        <f>IF($A929="",NA(),MAX(0,E929-F929)*IF(G929&gt;0,H929/G929,COMPAREC_PAD)*IF(I929&gt;0,J929/I929,VALIDOS_PAD))</f>
        <v/>
      </c>
      <c r="S929" s="34">
        <f>IF($A929="",NA(),IF(R929&gt;0,0.5-(K929-L929)/(2*R929),0))</f>
        <v/>
      </c>
      <c r="T929" s="34">
        <f>IF($A929="",NA(),IF(R929&lt;=0,IF(K929&gt;L929,1,IF(K929&lt;L929,0,0.5)),1-NORMDIST(S929,P929+AJUSTE,SIGMA,TRUE)))</f>
        <v/>
      </c>
      <c r="U929" s="34">
        <f>IF($A929="",NA(),1-T929)</f>
        <v/>
      </c>
    </row>
    <row r="930"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3" t="n"/>
      <c r="N930" s="34">
        <f>IF($A930="",NA(),IF(C930&gt;0,D930/C930,0))</f>
        <v/>
      </c>
      <c r="O930" s="34">
        <f>IF($A930="",NA(),IF(E930&gt;0,F930/E930,0))</f>
        <v/>
      </c>
      <c r="P930" s="34">
        <f>IF($A930="",NA(),IF(K930+L930&gt;0,K930/(K930+L930),0.5))</f>
        <v/>
      </c>
      <c r="Q930" s="34">
        <f>IF($A930="",NA(),1-P930)</f>
        <v/>
      </c>
      <c r="R930" s="33">
        <f>IF($A930="",NA(),MAX(0,E930-F930)*IF(G930&gt;0,H930/G930,COMPAREC_PAD)*IF(I930&gt;0,J930/I930,VALIDOS_PAD))</f>
        <v/>
      </c>
      <c r="S930" s="34">
        <f>IF($A930="",NA(),IF(R930&gt;0,0.5-(K930-L930)/(2*R930),0))</f>
        <v/>
      </c>
      <c r="T930" s="34">
        <f>IF($A930="",NA(),IF(R930&lt;=0,IF(K930&gt;L930,1,IF(K930&lt;L930,0,0.5)),1-NORMDIST(S930,P930+AJUSTE,SIGMA,TRUE)))</f>
        <v/>
      </c>
      <c r="U930" s="34">
        <f>IF($A930="",NA(),1-T930)</f>
        <v/>
      </c>
    </row>
    <row r="931">
      <c r="C931" s="33" t="n"/>
      <c r="D931" s="33" t="n"/>
      <c r="E931" s="33" t="n"/>
      <c r="F931" s="33" t="n"/>
      <c r="G931" s="33" t="n"/>
      <c r="H931" s="33" t="n"/>
      <c r="I931" s="33" t="n"/>
      <c r="J931" s="33" t="n"/>
      <c r="K931" s="33" t="n"/>
      <c r="L931" s="33" t="n"/>
      <c r="N931" s="34">
        <f>IF($A931="",NA(),IF(C931&gt;0,D931/C931,0))</f>
        <v/>
      </c>
      <c r="O931" s="34">
        <f>IF($A931="",NA(),IF(E931&gt;0,F931/E931,0))</f>
        <v/>
      </c>
      <c r="P931" s="34">
        <f>IF($A931="",NA(),IF(K931+L931&gt;0,K931/(K931+L931),0.5))</f>
        <v/>
      </c>
      <c r="Q931" s="34">
        <f>IF($A931="",NA(),1-P931)</f>
        <v/>
      </c>
      <c r="R931" s="33">
        <f>IF($A931="",NA(),MAX(0,E931-F931)*IF(G931&gt;0,H931/G931,COMPAREC_PAD)*IF(I931&gt;0,J931/I931,VALIDOS_PAD))</f>
        <v/>
      </c>
      <c r="S931" s="34">
        <f>IF($A931="",NA(),IF(R931&gt;0,0.5-(K931-L931)/(2*R931),0))</f>
        <v/>
      </c>
      <c r="T931" s="34">
        <f>IF($A931="",NA(),IF(R931&lt;=0,IF(K931&gt;L931,1,IF(K931&lt;L931,0,0.5)),1-NORMDIST(S931,P931+AJUSTE,SIGMA,TRUE)))</f>
        <v/>
      </c>
      <c r="U931" s="34">
        <f>IF($A931="",NA(),1-T931)</f>
        <v/>
      </c>
    </row>
    <row r="932"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3" t="n"/>
      <c r="N932" s="34">
        <f>IF($A932="",NA(),IF(C932&gt;0,D932/C932,0))</f>
        <v/>
      </c>
      <c r="O932" s="34">
        <f>IF($A932="",NA(),IF(E932&gt;0,F932/E932,0))</f>
        <v/>
      </c>
      <c r="P932" s="34">
        <f>IF($A932="",NA(),IF(K932+L932&gt;0,K932/(K932+L932),0.5))</f>
        <v/>
      </c>
      <c r="Q932" s="34">
        <f>IF($A932="",NA(),1-P932)</f>
        <v/>
      </c>
      <c r="R932" s="33">
        <f>IF($A932="",NA(),MAX(0,E932-F932)*IF(G932&gt;0,H932/G932,COMPAREC_PAD)*IF(I932&gt;0,J932/I932,VALIDOS_PAD))</f>
        <v/>
      </c>
      <c r="S932" s="34">
        <f>IF($A932="",NA(),IF(R932&gt;0,0.5-(K932-L932)/(2*R932),0))</f>
        <v/>
      </c>
      <c r="T932" s="34">
        <f>IF($A932="",NA(),IF(R932&lt;=0,IF(K932&gt;L932,1,IF(K932&lt;L932,0,0.5)),1-NORMDIST(S932,P932+AJUSTE,SIGMA,TRUE)))</f>
        <v/>
      </c>
      <c r="U932" s="34">
        <f>IF($A932="",NA(),1-T932)</f>
        <v/>
      </c>
    </row>
    <row r="933">
      <c r="C933" s="33" t="n"/>
      <c r="D933" s="33" t="n"/>
      <c r="E933" s="33" t="n"/>
      <c r="F933" s="33" t="n"/>
      <c r="G933" s="33" t="n"/>
      <c r="H933" s="33" t="n"/>
      <c r="I933" s="33" t="n"/>
      <c r="J933" s="33" t="n"/>
      <c r="K933" s="33" t="n"/>
      <c r="L933" s="33" t="n"/>
      <c r="N933" s="34">
        <f>IF($A933="",NA(),IF(C933&gt;0,D933/C933,0))</f>
        <v/>
      </c>
      <c r="O933" s="34">
        <f>IF($A933="",NA(),IF(E933&gt;0,F933/E933,0))</f>
        <v/>
      </c>
      <c r="P933" s="34">
        <f>IF($A933="",NA(),IF(K933+L933&gt;0,K933/(K933+L933),0.5))</f>
        <v/>
      </c>
      <c r="Q933" s="34">
        <f>IF($A933="",NA(),1-P933)</f>
        <v/>
      </c>
      <c r="R933" s="33">
        <f>IF($A933="",NA(),MAX(0,E933-F933)*IF(G933&gt;0,H933/G933,COMPAREC_PAD)*IF(I933&gt;0,J933/I933,VALIDOS_PAD))</f>
        <v/>
      </c>
      <c r="S933" s="34">
        <f>IF($A933="",NA(),IF(R933&gt;0,0.5-(K933-L933)/(2*R933),0))</f>
        <v/>
      </c>
      <c r="T933" s="34">
        <f>IF($A933="",NA(),IF(R933&lt;=0,IF(K933&gt;L933,1,IF(K933&lt;L933,0,0.5)),1-NORMDIST(S933,P933+AJUSTE,SIGMA,TRUE)))</f>
        <v/>
      </c>
      <c r="U933" s="34">
        <f>IF($A933="",NA(),1-T933)</f>
        <v/>
      </c>
    </row>
    <row r="934"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  <c r="N934" s="34">
        <f>IF($A934="",NA(),IF(C934&gt;0,D934/C934,0))</f>
        <v/>
      </c>
      <c r="O934" s="34">
        <f>IF($A934="",NA(),IF(E934&gt;0,F934/E934,0))</f>
        <v/>
      </c>
      <c r="P934" s="34">
        <f>IF($A934="",NA(),IF(K934+L934&gt;0,K934/(K934+L934),0.5))</f>
        <v/>
      </c>
      <c r="Q934" s="34">
        <f>IF($A934="",NA(),1-P934)</f>
        <v/>
      </c>
      <c r="R934" s="33">
        <f>IF($A934="",NA(),MAX(0,E934-F934)*IF(G934&gt;0,H934/G934,COMPAREC_PAD)*IF(I934&gt;0,J934/I934,VALIDOS_PAD))</f>
        <v/>
      </c>
      <c r="S934" s="34">
        <f>IF($A934="",NA(),IF(R934&gt;0,0.5-(K934-L934)/(2*R934),0))</f>
        <v/>
      </c>
      <c r="T934" s="34">
        <f>IF($A934="",NA(),IF(R934&lt;=0,IF(K934&gt;L934,1,IF(K934&lt;L934,0,0.5)),1-NORMDIST(S934,P934+AJUSTE,SIGMA,TRUE)))</f>
        <v/>
      </c>
      <c r="U934" s="34">
        <f>IF($A934="",NA(),1-T934)</f>
        <v/>
      </c>
    </row>
    <row r="935">
      <c r="C935" s="33" t="n"/>
      <c r="D935" s="33" t="n"/>
      <c r="E935" s="33" t="n"/>
      <c r="F935" s="33" t="n"/>
      <c r="G935" s="33" t="n"/>
      <c r="H935" s="33" t="n"/>
      <c r="I935" s="33" t="n"/>
      <c r="J935" s="33" t="n"/>
      <c r="K935" s="33" t="n"/>
      <c r="L935" s="33" t="n"/>
      <c r="N935" s="34">
        <f>IF($A935="",NA(),IF(C935&gt;0,D935/C935,0))</f>
        <v/>
      </c>
      <c r="O935" s="34">
        <f>IF($A935="",NA(),IF(E935&gt;0,F935/E935,0))</f>
        <v/>
      </c>
      <c r="P935" s="34">
        <f>IF($A935="",NA(),IF(K935+L935&gt;0,K935/(K935+L935),0.5))</f>
        <v/>
      </c>
      <c r="Q935" s="34">
        <f>IF($A935="",NA(),1-P935)</f>
        <v/>
      </c>
      <c r="R935" s="33">
        <f>IF($A935="",NA(),MAX(0,E935-F935)*IF(G935&gt;0,H935/G935,COMPAREC_PAD)*IF(I935&gt;0,J935/I935,VALIDOS_PAD))</f>
        <v/>
      </c>
      <c r="S935" s="34">
        <f>IF($A935="",NA(),IF(R935&gt;0,0.5-(K935-L935)/(2*R935),0))</f>
        <v/>
      </c>
      <c r="T935" s="34">
        <f>IF($A935="",NA(),IF(R935&lt;=0,IF(K935&gt;L935,1,IF(K935&lt;L935,0,0.5)),1-NORMDIST(S935,P935+AJUSTE,SIGMA,TRUE)))</f>
        <v/>
      </c>
      <c r="U935" s="34">
        <f>IF($A935="",NA(),1-T935)</f>
        <v/>
      </c>
    </row>
    <row r="936"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  <c r="N936" s="34">
        <f>IF($A936="",NA(),IF(C936&gt;0,D936/C936,0))</f>
        <v/>
      </c>
      <c r="O936" s="34">
        <f>IF($A936="",NA(),IF(E936&gt;0,F936/E936,0))</f>
        <v/>
      </c>
      <c r="P936" s="34">
        <f>IF($A936="",NA(),IF(K936+L936&gt;0,K936/(K936+L936),0.5))</f>
        <v/>
      </c>
      <c r="Q936" s="34">
        <f>IF($A936="",NA(),1-P936)</f>
        <v/>
      </c>
      <c r="R936" s="33">
        <f>IF($A936="",NA(),MAX(0,E936-F936)*IF(G936&gt;0,H936/G936,COMPAREC_PAD)*IF(I936&gt;0,J936/I936,VALIDOS_PAD))</f>
        <v/>
      </c>
      <c r="S936" s="34">
        <f>IF($A936="",NA(),IF(R936&gt;0,0.5-(K936-L936)/(2*R936),0))</f>
        <v/>
      </c>
      <c r="T936" s="34">
        <f>IF($A936="",NA(),IF(R936&lt;=0,IF(K936&gt;L936,1,IF(K936&lt;L936,0,0.5)),1-NORMDIST(S936,P936+AJUSTE,SIGMA,TRUE)))</f>
        <v/>
      </c>
      <c r="U936" s="34">
        <f>IF($A936="",NA(),1-T936)</f>
        <v/>
      </c>
    </row>
    <row r="937">
      <c r="C937" s="33" t="n"/>
      <c r="D937" s="33" t="n"/>
      <c r="E937" s="33" t="n"/>
      <c r="F937" s="33" t="n"/>
      <c r="G937" s="33" t="n"/>
      <c r="H937" s="33" t="n"/>
      <c r="I937" s="33" t="n"/>
      <c r="J937" s="33" t="n"/>
      <c r="K937" s="33" t="n"/>
      <c r="L937" s="33" t="n"/>
      <c r="N937" s="34">
        <f>IF($A937="",NA(),IF(C937&gt;0,D937/C937,0))</f>
        <v/>
      </c>
      <c r="O937" s="34">
        <f>IF($A937="",NA(),IF(E937&gt;0,F937/E937,0))</f>
        <v/>
      </c>
      <c r="P937" s="34">
        <f>IF($A937="",NA(),IF(K937+L937&gt;0,K937/(K937+L937),0.5))</f>
        <v/>
      </c>
      <c r="Q937" s="34">
        <f>IF($A937="",NA(),1-P937)</f>
        <v/>
      </c>
      <c r="R937" s="33">
        <f>IF($A937="",NA(),MAX(0,E937-F937)*IF(G937&gt;0,H937/G937,COMPAREC_PAD)*IF(I937&gt;0,J937/I937,VALIDOS_PAD))</f>
        <v/>
      </c>
      <c r="S937" s="34">
        <f>IF($A937="",NA(),IF(R937&gt;0,0.5-(K937-L937)/(2*R937),0))</f>
        <v/>
      </c>
      <c r="T937" s="34">
        <f>IF($A937="",NA(),IF(R937&lt;=0,IF(K937&gt;L937,1,IF(K937&lt;L937,0,0.5)),1-NORMDIST(S937,P937+AJUSTE,SIGMA,TRUE)))</f>
        <v/>
      </c>
      <c r="U937" s="34">
        <f>IF($A937="",NA(),1-T937)</f>
        <v/>
      </c>
    </row>
    <row r="938"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3" t="n"/>
      <c r="N938" s="34">
        <f>IF($A938="",NA(),IF(C938&gt;0,D938/C938,0))</f>
        <v/>
      </c>
      <c r="O938" s="34">
        <f>IF($A938="",NA(),IF(E938&gt;0,F938/E938,0))</f>
        <v/>
      </c>
      <c r="P938" s="34">
        <f>IF($A938="",NA(),IF(K938+L938&gt;0,K938/(K938+L938),0.5))</f>
        <v/>
      </c>
      <c r="Q938" s="34">
        <f>IF($A938="",NA(),1-P938)</f>
        <v/>
      </c>
      <c r="R938" s="33">
        <f>IF($A938="",NA(),MAX(0,E938-F938)*IF(G938&gt;0,H938/G938,COMPAREC_PAD)*IF(I938&gt;0,J938/I938,VALIDOS_PAD))</f>
        <v/>
      </c>
      <c r="S938" s="34">
        <f>IF($A938="",NA(),IF(R938&gt;0,0.5-(K938-L938)/(2*R938),0))</f>
        <v/>
      </c>
      <c r="T938" s="34">
        <f>IF($A938="",NA(),IF(R938&lt;=0,IF(K938&gt;L938,1,IF(K938&lt;L938,0,0.5)),1-NORMDIST(S938,P938+AJUSTE,SIGMA,TRUE)))</f>
        <v/>
      </c>
      <c r="U938" s="34">
        <f>IF($A938="",NA(),1-T938)</f>
        <v/>
      </c>
    </row>
    <row r="939">
      <c r="C939" s="33" t="n"/>
      <c r="D939" s="33" t="n"/>
      <c r="E939" s="33" t="n"/>
      <c r="F939" s="33" t="n"/>
      <c r="G939" s="33" t="n"/>
      <c r="H939" s="33" t="n"/>
      <c r="I939" s="33" t="n"/>
      <c r="J939" s="33" t="n"/>
      <c r="K939" s="33" t="n"/>
      <c r="L939" s="33" t="n"/>
      <c r="N939" s="34">
        <f>IF($A939="",NA(),IF(C939&gt;0,D939/C939,0))</f>
        <v/>
      </c>
      <c r="O939" s="34">
        <f>IF($A939="",NA(),IF(E939&gt;0,F939/E939,0))</f>
        <v/>
      </c>
      <c r="P939" s="34">
        <f>IF($A939="",NA(),IF(K939+L939&gt;0,K939/(K939+L939),0.5))</f>
        <v/>
      </c>
      <c r="Q939" s="34">
        <f>IF($A939="",NA(),1-P939)</f>
        <v/>
      </c>
      <c r="R939" s="33">
        <f>IF($A939="",NA(),MAX(0,E939-F939)*IF(G939&gt;0,H939/G939,COMPAREC_PAD)*IF(I939&gt;0,J939/I939,VALIDOS_PAD))</f>
        <v/>
      </c>
      <c r="S939" s="34">
        <f>IF($A939="",NA(),IF(R939&gt;0,0.5-(K939-L939)/(2*R939),0))</f>
        <v/>
      </c>
      <c r="T939" s="34">
        <f>IF($A939="",NA(),IF(R939&lt;=0,IF(K939&gt;L939,1,IF(K939&lt;L939,0,0.5)),1-NORMDIST(S939,P939+AJUSTE,SIGMA,TRUE)))</f>
        <v/>
      </c>
      <c r="U939" s="34">
        <f>IF($A939="",NA(),1-T939)</f>
        <v/>
      </c>
    </row>
    <row r="940"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3" t="n"/>
      <c r="N940" s="34">
        <f>IF($A940="",NA(),IF(C940&gt;0,D940/C940,0))</f>
        <v/>
      </c>
      <c r="O940" s="34">
        <f>IF($A940="",NA(),IF(E940&gt;0,F940/E940,0))</f>
        <v/>
      </c>
      <c r="P940" s="34">
        <f>IF($A940="",NA(),IF(K940+L940&gt;0,K940/(K940+L940),0.5))</f>
        <v/>
      </c>
      <c r="Q940" s="34">
        <f>IF($A940="",NA(),1-P940)</f>
        <v/>
      </c>
      <c r="R940" s="33">
        <f>IF($A940="",NA(),MAX(0,E940-F940)*IF(G940&gt;0,H940/G940,COMPAREC_PAD)*IF(I940&gt;0,J940/I940,VALIDOS_PAD))</f>
        <v/>
      </c>
      <c r="S940" s="34">
        <f>IF($A940="",NA(),IF(R940&gt;0,0.5-(K940-L940)/(2*R940),0))</f>
        <v/>
      </c>
      <c r="T940" s="34">
        <f>IF($A940="",NA(),IF(R940&lt;=0,IF(K940&gt;L940,1,IF(K940&lt;L940,0,0.5)),1-NORMDIST(S940,P940+AJUSTE,SIGMA,TRUE)))</f>
        <v/>
      </c>
      <c r="U940" s="34">
        <f>IF($A940="",NA(),1-T940)</f>
        <v/>
      </c>
    </row>
    <row r="941">
      <c r="C941" s="33" t="n"/>
      <c r="D941" s="33" t="n"/>
      <c r="E941" s="33" t="n"/>
      <c r="F941" s="33" t="n"/>
      <c r="G941" s="33" t="n"/>
      <c r="H941" s="33" t="n"/>
      <c r="I941" s="33" t="n"/>
      <c r="J941" s="33" t="n"/>
      <c r="K941" s="33" t="n"/>
      <c r="L941" s="33" t="n"/>
      <c r="N941" s="34">
        <f>IF($A941="",NA(),IF(C941&gt;0,D941/C941,0))</f>
        <v/>
      </c>
      <c r="O941" s="34">
        <f>IF($A941="",NA(),IF(E941&gt;0,F941/E941,0))</f>
        <v/>
      </c>
      <c r="P941" s="34">
        <f>IF($A941="",NA(),IF(K941+L941&gt;0,K941/(K941+L941),0.5))</f>
        <v/>
      </c>
      <c r="Q941" s="34">
        <f>IF($A941="",NA(),1-P941)</f>
        <v/>
      </c>
      <c r="R941" s="33">
        <f>IF($A941="",NA(),MAX(0,E941-F941)*IF(G941&gt;0,H941/G941,COMPAREC_PAD)*IF(I941&gt;0,J941/I941,VALIDOS_PAD))</f>
        <v/>
      </c>
      <c r="S941" s="34">
        <f>IF($A941="",NA(),IF(R941&gt;0,0.5-(K941-L941)/(2*R941),0))</f>
        <v/>
      </c>
      <c r="T941" s="34">
        <f>IF($A941="",NA(),IF(R941&lt;=0,IF(K941&gt;L941,1,IF(K941&lt;L941,0,0.5)),1-NORMDIST(S941,P941+AJUSTE,SIGMA,TRUE)))</f>
        <v/>
      </c>
      <c r="U941" s="34">
        <f>IF($A941="",NA(),1-T941)</f>
        <v/>
      </c>
    </row>
    <row r="942"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3" t="n"/>
      <c r="N942" s="34">
        <f>IF($A942="",NA(),IF(C942&gt;0,D942/C942,0))</f>
        <v/>
      </c>
      <c r="O942" s="34">
        <f>IF($A942="",NA(),IF(E942&gt;0,F942/E942,0))</f>
        <v/>
      </c>
      <c r="P942" s="34">
        <f>IF($A942="",NA(),IF(K942+L942&gt;0,K942/(K942+L942),0.5))</f>
        <v/>
      </c>
      <c r="Q942" s="34">
        <f>IF($A942="",NA(),1-P942)</f>
        <v/>
      </c>
      <c r="R942" s="33">
        <f>IF($A942="",NA(),MAX(0,E942-F942)*IF(G942&gt;0,H942/G942,COMPAREC_PAD)*IF(I942&gt;0,J942/I942,VALIDOS_PAD))</f>
        <v/>
      </c>
      <c r="S942" s="34">
        <f>IF($A942="",NA(),IF(R942&gt;0,0.5-(K942-L942)/(2*R942),0))</f>
        <v/>
      </c>
      <c r="T942" s="34">
        <f>IF($A942="",NA(),IF(R942&lt;=0,IF(K942&gt;L942,1,IF(K942&lt;L942,0,0.5)),1-NORMDIST(S942,P942+AJUSTE,SIGMA,TRUE)))</f>
        <v/>
      </c>
      <c r="U942" s="34">
        <f>IF($A942="",NA(),1-T942)</f>
        <v/>
      </c>
    </row>
    <row r="943">
      <c r="C943" s="33" t="n"/>
      <c r="D943" s="33" t="n"/>
      <c r="E943" s="33" t="n"/>
      <c r="F943" s="33" t="n"/>
      <c r="G943" s="33" t="n"/>
      <c r="H943" s="33" t="n"/>
      <c r="I943" s="33" t="n"/>
      <c r="J943" s="33" t="n"/>
      <c r="K943" s="33" t="n"/>
      <c r="L943" s="33" t="n"/>
      <c r="N943" s="34">
        <f>IF($A943="",NA(),IF(C943&gt;0,D943/C943,0))</f>
        <v/>
      </c>
      <c r="O943" s="34">
        <f>IF($A943="",NA(),IF(E943&gt;0,F943/E943,0))</f>
        <v/>
      </c>
      <c r="P943" s="34">
        <f>IF($A943="",NA(),IF(K943+L943&gt;0,K943/(K943+L943),0.5))</f>
        <v/>
      </c>
      <c r="Q943" s="34">
        <f>IF($A943="",NA(),1-P943)</f>
        <v/>
      </c>
      <c r="R943" s="33">
        <f>IF($A943="",NA(),MAX(0,E943-F943)*IF(G943&gt;0,H943/G943,COMPAREC_PAD)*IF(I943&gt;0,J943/I943,VALIDOS_PAD))</f>
        <v/>
      </c>
      <c r="S943" s="34">
        <f>IF($A943="",NA(),IF(R943&gt;0,0.5-(K943-L943)/(2*R943),0))</f>
        <v/>
      </c>
      <c r="T943" s="34">
        <f>IF($A943="",NA(),IF(R943&lt;=0,IF(K943&gt;L943,1,IF(K943&lt;L943,0,0.5)),1-NORMDIST(S943,P943+AJUSTE,SIGMA,TRUE)))</f>
        <v/>
      </c>
      <c r="U943" s="34">
        <f>IF($A943="",NA(),1-T943)</f>
        <v/>
      </c>
    </row>
    <row r="944"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3" t="n"/>
      <c r="N944" s="34">
        <f>IF($A944="",NA(),IF(C944&gt;0,D944/C944,0))</f>
        <v/>
      </c>
      <c r="O944" s="34">
        <f>IF($A944="",NA(),IF(E944&gt;0,F944/E944,0))</f>
        <v/>
      </c>
      <c r="P944" s="34">
        <f>IF($A944="",NA(),IF(K944+L944&gt;0,K944/(K944+L944),0.5))</f>
        <v/>
      </c>
      <c r="Q944" s="34">
        <f>IF($A944="",NA(),1-P944)</f>
        <v/>
      </c>
      <c r="R944" s="33">
        <f>IF($A944="",NA(),MAX(0,E944-F944)*IF(G944&gt;0,H944/G944,COMPAREC_PAD)*IF(I944&gt;0,J944/I944,VALIDOS_PAD))</f>
        <v/>
      </c>
      <c r="S944" s="34">
        <f>IF($A944="",NA(),IF(R944&gt;0,0.5-(K944-L944)/(2*R944),0))</f>
        <v/>
      </c>
      <c r="T944" s="34">
        <f>IF($A944="",NA(),IF(R944&lt;=0,IF(K944&gt;L944,1,IF(K944&lt;L944,0,0.5)),1-NORMDIST(S944,P944+AJUSTE,SIGMA,TRUE)))</f>
        <v/>
      </c>
      <c r="U944" s="34">
        <f>IF($A944="",NA(),1-T944)</f>
        <v/>
      </c>
    </row>
    <row r="945">
      <c r="C945" s="33" t="n"/>
      <c r="D945" s="33" t="n"/>
      <c r="E945" s="33" t="n"/>
      <c r="F945" s="33" t="n"/>
      <c r="G945" s="33" t="n"/>
      <c r="H945" s="33" t="n"/>
      <c r="I945" s="33" t="n"/>
      <c r="J945" s="33" t="n"/>
      <c r="K945" s="33" t="n"/>
      <c r="L945" s="33" t="n"/>
      <c r="N945" s="34">
        <f>IF($A945="",NA(),IF(C945&gt;0,D945/C945,0))</f>
        <v/>
      </c>
      <c r="O945" s="34">
        <f>IF($A945="",NA(),IF(E945&gt;0,F945/E945,0))</f>
        <v/>
      </c>
      <c r="P945" s="34">
        <f>IF($A945="",NA(),IF(K945+L945&gt;0,K945/(K945+L945),0.5))</f>
        <v/>
      </c>
      <c r="Q945" s="34">
        <f>IF($A945="",NA(),1-P945)</f>
        <v/>
      </c>
      <c r="R945" s="33">
        <f>IF($A945="",NA(),MAX(0,E945-F945)*IF(G945&gt;0,H945/G945,COMPAREC_PAD)*IF(I945&gt;0,J945/I945,VALIDOS_PAD))</f>
        <v/>
      </c>
      <c r="S945" s="34">
        <f>IF($A945="",NA(),IF(R945&gt;0,0.5-(K945-L945)/(2*R945),0))</f>
        <v/>
      </c>
      <c r="T945" s="34">
        <f>IF($A945="",NA(),IF(R945&lt;=0,IF(K945&gt;L945,1,IF(K945&lt;L945,0,0.5)),1-NORMDIST(S945,P945+AJUSTE,SIGMA,TRUE)))</f>
        <v/>
      </c>
      <c r="U945" s="34">
        <f>IF($A945="",NA(),1-T945)</f>
        <v/>
      </c>
    </row>
    <row r="946"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3" t="n"/>
      <c r="N946" s="34">
        <f>IF($A946="",NA(),IF(C946&gt;0,D946/C946,0))</f>
        <v/>
      </c>
      <c r="O946" s="34">
        <f>IF($A946="",NA(),IF(E946&gt;0,F946/E946,0))</f>
        <v/>
      </c>
      <c r="P946" s="34">
        <f>IF($A946="",NA(),IF(K946+L946&gt;0,K946/(K946+L946),0.5))</f>
        <v/>
      </c>
      <c r="Q946" s="34">
        <f>IF($A946="",NA(),1-P946)</f>
        <v/>
      </c>
      <c r="R946" s="33">
        <f>IF($A946="",NA(),MAX(0,E946-F946)*IF(G946&gt;0,H946/G946,COMPAREC_PAD)*IF(I946&gt;0,J946/I946,VALIDOS_PAD))</f>
        <v/>
      </c>
      <c r="S946" s="34">
        <f>IF($A946="",NA(),IF(R946&gt;0,0.5-(K946-L946)/(2*R946),0))</f>
        <v/>
      </c>
      <c r="T946" s="34">
        <f>IF($A946="",NA(),IF(R946&lt;=0,IF(K946&gt;L946,1,IF(K946&lt;L946,0,0.5)),1-NORMDIST(S946,P946+AJUSTE,SIGMA,TRUE)))</f>
        <v/>
      </c>
      <c r="U946" s="34">
        <f>IF($A946="",NA(),1-T946)</f>
        <v/>
      </c>
    </row>
    <row r="947">
      <c r="C947" s="33" t="n"/>
      <c r="D947" s="33" t="n"/>
      <c r="E947" s="33" t="n"/>
      <c r="F947" s="33" t="n"/>
      <c r="G947" s="33" t="n"/>
      <c r="H947" s="33" t="n"/>
      <c r="I947" s="33" t="n"/>
      <c r="J947" s="33" t="n"/>
      <c r="K947" s="33" t="n"/>
      <c r="L947" s="33" t="n"/>
      <c r="N947" s="34">
        <f>IF($A947="",NA(),IF(C947&gt;0,D947/C947,0))</f>
        <v/>
      </c>
      <c r="O947" s="34">
        <f>IF($A947="",NA(),IF(E947&gt;0,F947/E947,0))</f>
        <v/>
      </c>
      <c r="P947" s="34">
        <f>IF($A947="",NA(),IF(K947+L947&gt;0,K947/(K947+L947),0.5))</f>
        <v/>
      </c>
      <c r="Q947" s="34">
        <f>IF($A947="",NA(),1-P947)</f>
        <v/>
      </c>
      <c r="R947" s="33">
        <f>IF($A947="",NA(),MAX(0,E947-F947)*IF(G947&gt;0,H947/G947,COMPAREC_PAD)*IF(I947&gt;0,J947/I947,VALIDOS_PAD))</f>
        <v/>
      </c>
      <c r="S947" s="34">
        <f>IF($A947="",NA(),IF(R947&gt;0,0.5-(K947-L947)/(2*R947),0))</f>
        <v/>
      </c>
      <c r="T947" s="34">
        <f>IF($A947="",NA(),IF(R947&lt;=0,IF(K947&gt;L947,1,IF(K947&lt;L947,0,0.5)),1-NORMDIST(S947,P947+AJUSTE,SIGMA,TRUE)))</f>
        <v/>
      </c>
      <c r="U947" s="34">
        <f>IF($A947="",NA(),1-T947)</f>
        <v/>
      </c>
    </row>
    <row r="948"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3" t="n"/>
      <c r="N948" s="34">
        <f>IF($A948="",NA(),IF(C948&gt;0,D948/C948,0))</f>
        <v/>
      </c>
      <c r="O948" s="34">
        <f>IF($A948="",NA(),IF(E948&gt;0,F948/E948,0))</f>
        <v/>
      </c>
      <c r="P948" s="34">
        <f>IF($A948="",NA(),IF(K948+L948&gt;0,K948/(K948+L948),0.5))</f>
        <v/>
      </c>
      <c r="Q948" s="34">
        <f>IF($A948="",NA(),1-P948)</f>
        <v/>
      </c>
      <c r="R948" s="33">
        <f>IF($A948="",NA(),MAX(0,E948-F948)*IF(G948&gt;0,H948/G948,COMPAREC_PAD)*IF(I948&gt;0,J948/I948,VALIDOS_PAD))</f>
        <v/>
      </c>
      <c r="S948" s="34">
        <f>IF($A948="",NA(),IF(R948&gt;0,0.5-(K948-L948)/(2*R948),0))</f>
        <v/>
      </c>
      <c r="T948" s="34">
        <f>IF($A948="",NA(),IF(R948&lt;=0,IF(K948&gt;L948,1,IF(K948&lt;L948,0,0.5)),1-NORMDIST(S948,P948+AJUSTE,SIGMA,TRUE)))</f>
        <v/>
      </c>
      <c r="U948" s="34">
        <f>IF($A948="",NA(),1-T948)</f>
        <v/>
      </c>
    </row>
    <row r="949">
      <c r="C949" s="33" t="n"/>
      <c r="D949" s="33" t="n"/>
      <c r="E949" s="33" t="n"/>
      <c r="F949" s="33" t="n"/>
      <c r="G949" s="33" t="n"/>
      <c r="H949" s="33" t="n"/>
      <c r="I949" s="33" t="n"/>
      <c r="J949" s="33" t="n"/>
      <c r="K949" s="33" t="n"/>
      <c r="L949" s="33" t="n"/>
      <c r="N949" s="34">
        <f>IF($A949="",NA(),IF(C949&gt;0,D949/C949,0))</f>
        <v/>
      </c>
      <c r="O949" s="34">
        <f>IF($A949="",NA(),IF(E949&gt;0,F949/E949,0))</f>
        <v/>
      </c>
      <c r="P949" s="34">
        <f>IF($A949="",NA(),IF(K949+L949&gt;0,K949/(K949+L949),0.5))</f>
        <v/>
      </c>
      <c r="Q949" s="34">
        <f>IF($A949="",NA(),1-P949)</f>
        <v/>
      </c>
      <c r="R949" s="33">
        <f>IF($A949="",NA(),MAX(0,E949-F949)*IF(G949&gt;0,H949/G949,COMPAREC_PAD)*IF(I949&gt;0,J949/I949,VALIDOS_PAD))</f>
        <v/>
      </c>
      <c r="S949" s="34">
        <f>IF($A949="",NA(),IF(R949&gt;0,0.5-(K949-L949)/(2*R949),0))</f>
        <v/>
      </c>
      <c r="T949" s="34">
        <f>IF($A949="",NA(),IF(R949&lt;=0,IF(K949&gt;L949,1,IF(K949&lt;L949,0,0.5)),1-NORMDIST(S949,P949+AJUSTE,SIGMA,TRUE)))</f>
        <v/>
      </c>
      <c r="U949" s="34">
        <f>IF($A949="",NA(),1-T949)</f>
        <v/>
      </c>
    </row>
    <row r="950"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3" t="n"/>
      <c r="N950" s="34">
        <f>IF($A950="",NA(),IF(C950&gt;0,D950/C950,0))</f>
        <v/>
      </c>
      <c r="O950" s="34">
        <f>IF($A950="",NA(),IF(E950&gt;0,F950/E950,0))</f>
        <v/>
      </c>
      <c r="P950" s="34">
        <f>IF($A950="",NA(),IF(K950+L950&gt;0,K950/(K950+L950),0.5))</f>
        <v/>
      </c>
      <c r="Q950" s="34">
        <f>IF($A950="",NA(),1-P950)</f>
        <v/>
      </c>
      <c r="R950" s="33">
        <f>IF($A950="",NA(),MAX(0,E950-F950)*IF(G950&gt;0,H950/G950,COMPAREC_PAD)*IF(I950&gt;0,J950/I950,VALIDOS_PAD))</f>
        <v/>
      </c>
      <c r="S950" s="34">
        <f>IF($A950="",NA(),IF(R950&gt;0,0.5-(K950-L950)/(2*R950),0))</f>
        <v/>
      </c>
      <c r="T950" s="34">
        <f>IF($A950="",NA(),IF(R950&lt;=0,IF(K950&gt;L950,1,IF(K950&lt;L950,0,0.5)),1-NORMDIST(S950,P950+AJUSTE,SIGMA,TRUE)))</f>
        <v/>
      </c>
      <c r="U950" s="34">
        <f>IF($A950="",NA(),1-T950)</f>
        <v/>
      </c>
    </row>
    <row r="951"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3" t="n"/>
      <c r="N951" s="34">
        <f>IF($A951="",NA(),IF(C951&gt;0,D951/C951,0))</f>
        <v/>
      </c>
      <c r="O951" s="34">
        <f>IF($A951="",NA(),IF(E951&gt;0,F951/E951,0))</f>
        <v/>
      </c>
      <c r="P951" s="34">
        <f>IF($A951="",NA(),IF(K951+L951&gt;0,K951/(K951+L951),0.5))</f>
        <v/>
      </c>
      <c r="Q951" s="34">
        <f>IF($A951="",NA(),1-P951)</f>
        <v/>
      </c>
      <c r="R951" s="33">
        <f>IF($A951="",NA(),MAX(0,E951-F951)*IF(G951&gt;0,H951/G951,COMPAREC_PAD)*IF(I951&gt;0,J951/I951,VALIDOS_PAD))</f>
        <v/>
      </c>
      <c r="S951" s="34">
        <f>IF($A951="",NA(),IF(R951&gt;0,0.5-(K951-L951)/(2*R951),0))</f>
        <v/>
      </c>
      <c r="T951" s="34">
        <f>IF($A951="",NA(),IF(R951&lt;=0,IF(K951&gt;L951,1,IF(K951&lt;L951,0,0.5)),1-NORMDIST(S951,P951+AJUSTE,SIGMA,TRUE)))</f>
        <v/>
      </c>
      <c r="U951" s="34">
        <f>IF($A951="",NA(),1-T951)</f>
        <v/>
      </c>
    </row>
    <row r="952"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3" t="n"/>
      <c r="N952" s="34">
        <f>IF($A952="",NA(),IF(C952&gt;0,D952/C952,0))</f>
        <v/>
      </c>
      <c r="O952" s="34">
        <f>IF($A952="",NA(),IF(E952&gt;0,F952/E952,0))</f>
        <v/>
      </c>
      <c r="P952" s="34">
        <f>IF($A952="",NA(),IF(K952+L952&gt;0,K952/(K952+L952),0.5))</f>
        <v/>
      </c>
      <c r="Q952" s="34">
        <f>IF($A952="",NA(),1-P952)</f>
        <v/>
      </c>
      <c r="R952" s="33">
        <f>IF($A952="",NA(),MAX(0,E952-F952)*IF(G952&gt;0,H952/G952,COMPAREC_PAD)*IF(I952&gt;0,J952/I952,VALIDOS_PAD))</f>
        <v/>
      </c>
      <c r="S952" s="34">
        <f>IF($A952="",NA(),IF(R952&gt;0,0.5-(K952-L952)/(2*R952),0))</f>
        <v/>
      </c>
      <c r="T952" s="34">
        <f>IF($A952="",NA(),IF(R952&lt;=0,IF(K952&gt;L952,1,IF(K952&lt;L952,0,0.5)),1-NORMDIST(S952,P952+AJUSTE,SIGMA,TRUE)))</f>
        <v/>
      </c>
      <c r="U952" s="34">
        <f>IF($A952="",NA(),1-T952)</f>
        <v/>
      </c>
    </row>
    <row r="953">
      <c r="C953" s="33" t="n"/>
      <c r="D953" s="33" t="n"/>
      <c r="E953" s="33" t="n"/>
      <c r="F953" s="33" t="n"/>
      <c r="G953" s="33" t="n"/>
      <c r="H953" s="33" t="n"/>
      <c r="I953" s="33" t="n"/>
      <c r="J953" s="33" t="n"/>
      <c r="K953" s="33" t="n"/>
      <c r="L953" s="33" t="n"/>
      <c r="N953" s="34">
        <f>IF($A953="",NA(),IF(C953&gt;0,D953/C953,0))</f>
        <v/>
      </c>
      <c r="O953" s="34">
        <f>IF($A953="",NA(),IF(E953&gt;0,F953/E953,0))</f>
        <v/>
      </c>
      <c r="P953" s="34">
        <f>IF($A953="",NA(),IF(K953+L953&gt;0,K953/(K953+L953),0.5))</f>
        <v/>
      </c>
      <c r="Q953" s="34">
        <f>IF($A953="",NA(),1-P953)</f>
        <v/>
      </c>
      <c r="R953" s="33">
        <f>IF($A953="",NA(),MAX(0,E953-F953)*IF(G953&gt;0,H953/G953,COMPAREC_PAD)*IF(I953&gt;0,J953/I953,VALIDOS_PAD))</f>
        <v/>
      </c>
      <c r="S953" s="34">
        <f>IF($A953="",NA(),IF(R953&gt;0,0.5-(K953-L953)/(2*R953),0))</f>
        <v/>
      </c>
      <c r="T953" s="34">
        <f>IF($A953="",NA(),IF(R953&lt;=0,IF(K953&gt;L953,1,IF(K953&lt;L953,0,0.5)),1-NORMDIST(S953,P953+AJUSTE,SIGMA,TRUE)))</f>
        <v/>
      </c>
      <c r="U953" s="34">
        <f>IF($A953="",NA(),1-T953)</f>
        <v/>
      </c>
    </row>
    <row r="954"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3" t="n"/>
      <c r="N954" s="34">
        <f>IF($A954="",NA(),IF(C954&gt;0,D954/C954,0))</f>
        <v/>
      </c>
      <c r="O954" s="34">
        <f>IF($A954="",NA(),IF(E954&gt;0,F954/E954,0))</f>
        <v/>
      </c>
      <c r="P954" s="34">
        <f>IF($A954="",NA(),IF(K954+L954&gt;0,K954/(K954+L954),0.5))</f>
        <v/>
      </c>
      <c r="Q954" s="34">
        <f>IF($A954="",NA(),1-P954)</f>
        <v/>
      </c>
      <c r="R954" s="33">
        <f>IF($A954="",NA(),MAX(0,E954-F954)*IF(G954&gt;0,H954/G954,COMPAREC_PAD)*IF(I954&gt;0,J954/I954,VALIDOS_PAD))</f>
        <v/>
      </c>
      <c r="S954" s="34">
        <f>IF($A954="",NA(),IF(R954&gt;0,0.5-(K954-L954)/(2*R954),0))</f>
        <v/>
      </c>
      <c r="T954" s="34">
        <f>IF($A954="",NA(),IF(R954&lt;=0,IF(K954&gt;L954,1,IF(K954&lt;L954,0,0.5)),1-NORMDIST(S954,P954+AJUSTE,SIGMA,TRUE)))</f>
        <v/>
      </c>
      <c r="U954" s="34">
        <f>IF($A954="",NA(),1-T954)</f>
        <v/>
      </c>
    </row>
    <row r="955"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3" t="n"/>
      <c r="N955" s="34">
        <f>IF($A955="",NA(),IF(C955&gt;0,D955/C955,0))</f>
        <v/>
      </c>
      <c r="O955" s="34">
        <f>IF($A955="",NA(),IF(E955&gt;0,F955/E955,0))</f>
        <v/>
      </c>
      <c r="P955" s="34">
        <f>IF($A955="",NA(),IF(K955+L955&gt;0,K955/(K955+L955),0.5))</f>
        <v/>
      </c>
      <c r="Q955" s="34">
        <f>IF($A955="",NA(),1-P955)</f>
        <v/>
      </c>
      <c r="R955" s="33">
        <f>IF($A955="",NA(),MAX(0,E955-F955)*IF(G955&gt;0,H955/G955,COMPAREC_PAD)*IF(I955&gt;0,J955/I955,VALIDOS_PAD))</f>
        <v/>
      </c>
      <c r="S955" s="34">
        <f>IF($A955="",NA(),IF(R955&gt;0,0.5-(K955-L955)/(2*R955),0))</f>
        <v/>
      </c>
      <c r="T955" s="34">
        <f>IF($A955="",NA(),IF(R955&lt;=0,IF(K955&gt;L955,1,IF(K955&lt;L955,0,0.5)),1-NORMDIST(S955,P955+AJUSTE,SIGMA,TRUE)))</f>
        <v/>
      </c>
      <c r="U955" s="34">
        <f>IF($A955="",NA(),1-T955)</f>
        <v/>
      </c>
    </row>
    <row r="956"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3" t="n"/>
      <c r="N956" s="34">
        <f>IF($A956="",NA(),IF(C956&gt;0,D956/C956,0))</f>
        <v/>
      </c>
      <c r="O956" s="34">
        <f>IF($A956="",NA(),IF(E956&gt;0,F956/E956,0))</f>
        <v/>
      </c>
      <c r="P956" s="34">
        <f>IF($A956="",NA(),IF(K956+L956&gt;0,K956/(K956+L956),0.5))</f>
        <v/>
      </c>
      <c r="Q956" s="34">
        <f>IF($A956="",NA(),1-P956)</f>
        <v/>
      </c>
      <c r="R956" s="33">
        <f>IF($A956="",NA(),MAX(0,E956-F956)*IF(G956&gt;0,H956/G956,COMPAREC_PAD)*IF(I956&gt;0,J956/I956,VALIDOS_PAD))</f>
        <v/>
      </c>
      <c r="S956" s="34">
        <f>IF($A956="",NA(),IF(R956&gt;0,0.5-(K956-L956)/(2*R956),0))</f>
        <v/>
      </c>
      <c r="T956" s="34">
        <f>IF($A956="",NA(),IF(R956&lt;=0,IF(K956&gt;L956,1,IF(K956&lt;L956,0,0.5)),1-NORMDIST(S956,P956+AJUSTE,SIGMA,TRUE)))</f>
        <v/>
      </c>
      <c r="U956" s="34">
        <f>IF($A956="",NA(),1-T956)</f>
        <v/>
      </c>
    </row>
    <row r="957">
      <c r="C957" s="33" t="n"/>
      <c r="D957" s="33" t="n"/>
      <c r="E957" s="33" t="n"/>
      <c r="F957" s="33" t="n"/>
      <c r="G957" s="33" t="n"/>
      <c r="H957" s="33" t="n"/>
      <c r="I957" s="33" t="n"/>
      <c r="J957" s="33" t="n"/>
      <c r="K957" s="33" t="n"/>
      <c r="L957" s="33" t="n"/>
      <c r="N957" s="34">
        <f>IF($A957="",NA(),IF(C957&gt;0,D957/C957,0))</f>
        <v/>
      </c>
      <c r="O957" s="34">
        <f>IF($A957="",NA(),IF(E957&gt;0,F957/E957,0))</f>
        <v/>
      </c>
      <c r="P957" s="34">
        <f>IF($A957="",NA(),IF(K957+L957&gt;0,K957/(K957+L957),0.5))</f>
        <v/>
      </c>
      <c r="Q957" s="34">
        <f>IF($A957="",NA(),1-P957)</f>
        <v/>
      </c>
      <c r="R957" s="33">
        <f>IF($A957="",NA(),MAX(0,E957-F957)*IF(G957&gt;0,H957/G957,COMPAREC_PAD)*IF(I957&gt;0,J957/I957,VALIDOS_PAD))</f>
        <v/>
      </c>
      <c r="S957" s="34">
        <f>IF($A957="",NA(),IF(R957&gt;0,0.5-(K957-L957)/(2*R957),0))</f>
        <v/>
      </c>
      <c r="T957" s="34">
        <f>IF($A957="",NA(),IF(R957&lt;=0,IF(K957&gt;L957,1,IF(K957&lt;L957,0,0.5)),1-NORMDIST(S957,P957+AJUSTE,SIGMA,TRUE)))</f>
        <v/>
      </c>
      <c r="U957" s="34">
        <f>IF($A957="",NA(),1-T957)</f>
        <v/>
      </c>
    </row>
    <row r="958"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3" t="n"/>
      <c r="N958" s="34">
        <f>IF($A958="",NA(),IF(C958&gt;0,D958/C958,0))</f>
        <v/>
      </c>
      <c r="O958" s="34">
        <f>IF($A958="",NA(),IF(E958&gt;0,F958/E958,0))</f>
        <v/>
      </c>
      <c r="P958" s="34">
        <f>IF($A958="",NA(),IF(K958+L958&gt;0,K958/(K958+L958),0.5))</f>
        <v/>
      </c>
      <c r="Q958" s="34">
        <f>IF($A958="",NA(),1-P958)</f>
        <v/>
      </c>
      <c r="R958" s="33">
        <f>IF($A958="",NA(),MAX(0,E958-F958)*IF(G958&gt;0,H958/G958,COMPAREC_PAD)*IF(I958&gt;0,J958/I958,VALIDOS_PAD))</f>
        <v/>
      </c>
      <c r="S958" s="34">
        <f>IF($A958="",NA(),IF(R958&gt;0,0.5-(K958-L958)/(2*R958),0))</f>
        <v/>
      </c>
      <c r="T958" s="34">
        <f>IF($A958="",NA(),IF(R958&lt;=0,IF(K958&gt;L958,1,IF(K958&lt;L958,0,0.5)),1-NORMDIST(S958,P958+AJUSTE,SIGMA,TRUE)))</f>
        <v/>
      </c>
      <c r="U958" s="34">
        <f>IF($A958="",NA(),1-T958)</f>
        <v/>
      </c>
    </row>
    <row r="959">
      <c r="C959" s="33" t="n"/>
      <c r="D959" s="33" t="n"/>
      <c r="E959" s="33" t="n"/>
      <c r="F959" s="33" t="n"/>
      <c r="G959" s="33" t="n"/>
      <c r="H959" s="33" t="n"/>
      <c r="I959" s="33" t="n"/>
      <c r="J959" s="33" t="n"/>
      <c r="K959" s="33" t="n"/>
      <c r="L959" s="33" t="n"/>
      <c r="N959" s="34">
        <f>IF($A959="",NA(),IF(C959&gt;0,D959/C959,0))</f>
        <v/>
      </c>
      <c r="O959" s="34">
        <f>IF($A959="",NA(),IF(E959&gt;0,F959/E959,0))</f>
        <v/>
      </c>
      <c r="P959" s="34">
        <f>IF($A959="",NA(),IF(K959+L959&gt;0,K959/(K959+L959),0.5))</f>
        <v/>
      </c>
      <c r="Q959" s="34">
        <f>IF($A959="",NA(),1-P959)</f>
        <v/>
      </c>
      <c r="R959" s="33">
        <f>IF($A959="",NA(),MAX(0,E959-F959)*IF(G959&gt;0,H959/G959,COMPAREC_PAD)*IF(I959&gt;0,J959/I959,VALIDOS_PAD))</f>
        <v/>
      </c>
      <c r="S959" s="34">
        <f>IF($A959="",NA(),IF(R959&gt;0,0.5-(K959-L959)/(2*R959),0))</f>
        <v/>
      </c>
      <c r="T959" s="34">
        <f>IF($A959="",NA(),IF(R959&lt;=0,IF(K959&gt;L959,1,IF(K959&lt;L959,0,0.5)),1-NORMDIST(S959,P959+AJUSTE,SIGMA,TRUE)))</f>
        <v/>
      </c>
      <c r="U959" s="34">
        <f>IF($A959="",NA(),1-T959)</f>
        <v/>
      </c>
    </row>
    <row r="960"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3" t="n"/>
      <c r="N960" s="34">
        <f>IF($A960="",NA(),IF(C960&gt;0,D960/C960,0))</f>
        <v/>
      </c>
      <c r="O960" s="34">
        <f>IF($A960="",NA(),IF(E960&gt;0,F960/E960,0))</f>
        <v/>
      </c>
      <c r="P960" s="34">
        <f>IF($A960="",NA(),IF(K960+L960&gt;0,K960/(K960+L960),0.5))</f>
        <v/>
      </c>
      <c r="Q960" s="34">
        <f>IF($A960="",NA(),1-P960)</f>
        <v/>
      </c>
      <c r="R960" s="33">
        <f>IF($A960="",NA(),MAX(0,E960-F960)*IF(G960&gt;0,H960/G960,COMPAREC_PAD)*IF(I960&gt;0,J960/I960,VALIDOS_PAD))</f>
        <v/>
      </c>
      <c r="S960" s="34">
        <f>IF($A960="",NA(),IF(R960&gt;0,0.5-(K960-L960)/(2*R960),0))</f>
        <v/>
      </c>
      <c r="T960" s="34">
        <f>IF($A960="",NA(),IF(R960&lt;=0,IF(K960&gt;L960,1,IF(K960&lt;L960,0,0.5)),1-NORMDIST(S960,P960+AJUSTE,SIGMA,TRUE)))</f>
        <v/>
      </c>
      <c r="U960" s="34">
        <f>IF($A960="",NA(),1-T960)</f>
        <v/>
      </c>
    </row>
    <row r="961">
      <c r="C961" s="33" t="n"/>
      <c r="D961" s="33" t="n"/>
      <c r="E961" s="33" t="n"/>
      <c r="F961" s="33" t="n"/>
      <c r="G961" s="33" t="n"/>
      <c r="H961" s="33" t="n"/>
      <c r="I961" s="33" t="n"/>
      <c r="J961" s="33" t="n"/>
      <c r="K961" s="33" t="n"/>
      <c r="L961" s="33" t="n"/>
      <c r="N961" s="34">
        <f>IF($A961="",NA(),IF(C961&gt;0,D961/C961,0))</f>
        <v/>
      </c>
      <c r="O961" s="34">
        <f>IF($A961="",NA(),IF(E961&gt;0,F961/E961,0))</f>
        <v/>
      </c>
      <c r="P961" s="34">
        <f>IF($A961="",NA(),IF(K961+L961&gt;0,K961/(K961+L961),0.5))</f>
        <v/>
      </c>
      <c r="Q961" s="34">
        <f>IF($A961="",NA(),1-P961)</f>
        <v/>
      </c>
      <c r="R961" s="33">
        <f>IF($A961="",NA(),MAX(0,E961-F961)*IF(G961&gt;0,H961/G961,COMPAREC_PAD)*IF(I961&gt;0,J961/I961,VALIDOS_PAD))</f>
        <v/>
      </c>
      <c r="S961" s="34">
        <f>IF($A961="",NA(),IF(R961&gt;0,0.5-(K961-L961)/(2*R961),0))</f>
        <v/>
      </c>
      <c r="T961" s="34">
        <f>IF($A961="",NA(),IF(R961&lt;=0,IF(K961&gt;L961,1,IF(K961&lt;L961,0,0.5)),1-NORMDIST(S961,P961+AJUSTE,SIGMA,TRUE)))</f>
        <v/>
      </c>
      <c r="U961" s="34">
        <f>IF($A961="",NA(),1-T961)</f>
        <v/>
      </c>
    </row>
    <row r="962"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3" t="n"/>
      <c r="N962" s="34">
        <f>IF($A962="",NA(),IF(C962&gt;0,D962/C962,0))</f>
        <v/>
      </c>
      <c r="O962" s="34">
        <f>IF($A962="",NA(),IF(E962&gt;0,F962/E962,0))</f>
        <v/>
      </c>
      <c r="P962" s="34">
        <f>IF($A962="",NA(),IF(K962+L962&gt;0,K962/(K962+L962),0.5))</f>
        <v/>
      </c>
      <c r="Q962" s="34">
        <f>IF($A962="",NA(),1-P962)</f>
        <v/>
      </c>
      <c r="R962" s="33">
        <f>IF($A962="",NA(),MAX(0,E962-F962)*IF(G962&gt;0,H962/G962,COMPAREC_PAD)*IF(I962&gt;0,J962/I962,VALIDOS_PAD))</f>
        <v/>
      </c>
      <c r="S962" s="34">
        <f>IF($A962="",NA(),IF(R962&gt;0,0.5-(K962-L962)/(2*R962),0))</f>
        <v/>
      </c>
      <c r="T962" s="34">
        <f>IF($A962="",NA(),IF(R962&lt;=0,IF(K962&gt;L962,1,IF(K962&lt;L962,0,0.5)),1-NORMDIST(S962,P962+AJUSTE,SIGMA,TRUE)))</f>
        <v/>
      </c>
      <c r="U962" s="34">
        <f>IF($A962="",NA(),1-T962)</f>
        <v/>
      </c>
    </row>
    <row r="963">
      <c r="C963" s="33" t="n"/>
      <c r="D963" s="33" t="n"/>
      <c r="E963" s="33" t="n"/>
      <c r="F963" s="33" t="n"/>
      <c r="G963" s="33" t="n"/>
      <c r="H963" s="33" t="n"/>
      <c r="I963" s="33" t="n"/>
      <c r="J963" s="33" t="n"/>
      <c r="K963" s="33" t="n"/>
      <c r="L963" s="33" t="n"/>
      <c r="N963" s="34">
        <f>IF($A963="",NA(),IF(C963&gt;0,D963/C963,0))</f>
        <v/>
      </c>
      <c r="O963" s="34">
        <f>IF($A963="",NA(),IF(E963&gt;0,F963/E963,0))</f>
        <v/>
      </c>
      <c r="P963" s="34">
        <f>IF($A963="",NA(),IF(K963+L963&gt;0,K963/(K963+L963),0.5))</f>
        <v/>
      </c>
      <c r="Q963" s="34">
        <f>IF($A963="",NA(),1-P963)</f>
        <v/>
      </c>
      <c r="R963" s="33">
        <f>IF($A963="",NA(),MAX(0,E963-F963)*IF(G963&gt;0,H963/G963,COMPAREC_PAD)*IF(I963&gt;0,J963/I963,VALIDOS_PAD))</f>
        <v/>
      </c>
      <c r="S963" s="34">
        <f>IF($A963="",NA(),IF(R963&gt;0,0.5-(K963-L963)/(2*R963),0))</f>
        <v/>
      </c>
      <c r="T963" s="34">
        <f>IF($A963="",NA(),IF(R963&lt;=0,IF(K963&gt;L963,1,IF(K963&lt;L963,0,0.5)),1-NORMDIST(S963,P963+AJUSTE,SIGMA,TRUE)))</f>
        <v/>
      </c>
      <c r="U963" s="34">
        <f>IF($A963="",NA(),1-T963)</f>
        <v/>
      </c>
    </row>
    <row r="964"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3" t="n"/>
      <c r="N964" s="34">
        <f>IF($A964="",NA(),IF(C964&gt;0,D964/C964,0))</f>
        <v/>
      </c>
      <c r="O964" s="34">
        <f>IF($A964="",NA(),IF(E964&gt;0,F964/E964,0))</f>
        <v/>
      </c>
      <c r="P964" s="34">
        <f>IF($A964="",NA(),IF(K964+L964&gt;0,K964/(K964+L964),0.5))</f>
        <v/>
      </c>
      <c r="Q964" s="34">
        <f>IF($A964="",NA(),1-P964)</f>
        <v/>
      </c>
      <c r="R964" s="33">
        <f>IF($A964="",NA(),MAX(0,E964-F964)*IF(G964&gt;0,H964/G964,COMPAREC_PAD)*IF(I964&gt;0,J964/I964,VALIDOS_PAD))</f>
        <v/>
      </c>
      <c r="S964" s="34">
        <f>IF($A964="",NA(),IF(R964&gt;0,0.5-(K964-L964)/(2*R964),0))</f>
        <v/>
      </c>
      <c r="T964" s="34">
        <f>IF($A964="",NA(),IF(R964&lt;=0,IF(K964&gt;L964,1,IF(K964&lt;L964,0,0.5)),1-NORMDIST(S964,P964+AJUSTE,SIGMA,TRUE)))</f>
        <v/>
      </c>
      <c r="U964" s="34">
        <f>IF($A964="",NA(),1-T964)</f>
        <v/>
      </c>
    </row>
    <row r="965">
      <c r="C965" s="33" t="n"/>
      <c r="D965" s="33" t="n"/>
      <c r="E965" s="33" t="n"/>
      <c r="F965" s="33" t="n"/>
      <c r="G965" s="33" t="n"/>
      <c r="H965" s="33" t="n"/>
      <c r="I965" s="33" t="n"/>
      <c r="J965" s="33" t="n"/>
      <c r="K965" s="33" t="n"/>
      <c r="L965" s="33" t="n"/>
      <c r="N965" s="34">
        <f>IF($A965="",NA(),IF(C965&gt;0,D965/C965,0))</f>
        <v/>
      </c>
      <c r="O965" s="34">
        <f>IF($A965="",NA(),IF(E965&gt;0,F965/E965,0))</f>
        <v/>
      </c>
      <c r="P965" s="34">
        <f>IF($A965="",NA(),IF(K965+L965&gt;0,K965/(K965+L965),0.5))</f>
        <v/>
      </c>
      <c r="Q965" s="34">
        <f>IF($A965="",NA(),1-P965)</f>
        <v/>
      </c>
      <c r="R965" s="33">
        <f>IF($A965="",NA(),MAX(0,E965-F965)*IF(G965&gt;0,H965/G965,COMPAREC_PAD)*IF(I965&gt;0,J965/I965,VALIDOS_PAD))</f>
        <v/>
      </c>
      <c r="S965" s="34">
        <f>IF($A965="",NA(),IF(R965&gt;0,0.5-(K965-L965)/(2*R965),0))</f>
        <v/>
      </c>
      <c r="T965" s="34">
        <f>IF($A965="",NA(),IF(R965&lt;=0,IF(K965&gt;L965,1,IF(K965&lt;L965,0,0.5)),1-NORMDIST(S965,P965+AJUSTE,SIGMA,TRUE)))</f>
        <v/>
      </c>
      <c r="U965" s="34">
        <f>IF($A965="",NA(),1-T965)</f>
        <v/>
      </c>
    </row>
    <row r="966"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3" t="n"/>
      <c r="N966" s="34">
        <f>IF($A966="",NA(),IF(C966&gt;0,D966/C966,0))</f>
        <v/>
      </c>
      <c r="O966" s="34">
        <f>IF($A966="",NA(),IF(E966&gt;0,F966/E966,0))</f>
        <v/>
      </c>
      <c r="P966" s="34">
        <f>IF($A966="",NA(),IF(K966+L966&gt;0,K966/(K966+L966),0.5))</f>
        <v/>
      </c>
      <c r="Q966" s="34">
        <f>IF($A966="",NA(),1-P966)</f>
        <v/>
      </c>
      <c r="R966" s="33">
        <f>IF($A966="",NA(),MAX(0,E966-F966)*IF(G966&gt;0,H966/G966,COMPAREC_PAD)*IF(I966&gt;0,J966/I966,VALIDOS_PAD))</f>
        <v/>
      </c>
      <c r="S966" s="34">
        <f>IF($A966="",NA(),IF(R966&gt;0,0.5-(K966-L966)/(2*R966),0))</f>
        <v/>
      </c>
      <c r="T966" s="34">
        <f>IF($A966="",NA(),IF(R966&lt;=0,IF(K966&gt;L966,1,IF(K966&lt;L966,0,0.5)),1-NORMDIST(S966,P966+AJUSTE,SIGMA,TRUE)))</f>
        <v/>
      </c>
      <c r="U966" s="34">
        <f>IF($A966="",NA(),1-T966)</f>
        <v/>
      </c>
    </row>
    <row r="967">
      <c r="C967" s="33" t="n"/>
      <c r="D967" s="33" t="n"/>
      <c r="E967" s="33" t="n"/>
      <c r="F967" s="33" t="n"/>
      <c r="G967" s="33" t="n"/>
      <c r="H967" s="33" t="n"/>
      <c r="I967" s="33" t="n"/>
      <c r="J967" s="33" t="n"/>
      <c r="K967" s="33" t="n"/>
      <c r="L967" s="33" t="n"/>
      <c r="N967" s="34">
        <f>IF($A967="",NA(),IF(C967&gt;0,D967/C967,0))</f>
        <v/>
      </c>
      <c r="O967" s="34">
        <f>IF($A967="",NA(),IF(E967&gt;0,F967/E967,0))</f>
        <v/>
      </c>
      <c r="P967" s="34">
        <f>IF($A967="",NA(),IF(K967+L967&gt;0,K967/(K967+L967),0.5))</f>
        <v/>
      </c>
      <c r="Q967" s="34">
        <f>IF($A967="",NA(),1-P967)</f>
        <v/>
      </c>
      <c r="R967" s="33">
        <f>IF($A967="",NA(),MAX(0,E967-F967)*IF(G967&gt;0,H967/G967,COMPAREC_PAD)*IF(I967&gt;0,J967/I967,VALIDOS_PAD))</f>
        <v/>
      </c>
      <c r="S967" s="34">
        <f>IF($A967="",NA(),IF(R967&gt;0,0.5-(K967-L967)/(2*R967),0))</f>
        <v/>
      </c>
      <c r="T967" s="34">
        <f>IF($A967="",NA(),IF(R967&lt;=0,IF(K967&gt;L967,1,IF(K967&lt;L967,0,0.5)),1-NORMDIST(S967,P967+AJUSTE,SIGMA,TRUE)))</f>
        <v/>
      </c>
      <c r="U967" s="34">
        <f>IF($A967="",NA(),1-T967)</f>
        <v/>
      </c>
    </row>
    <row r="968"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3" t="n"/>
      <c r="N968" s="34">
        <f>IF($A968="",NA(),IF(C968&gt;0,D968/C968,0))</f>
        <v/>
      </c>
      <c r="O968" s="34">
        <f>IF($A968="",NA(),IF(E968&gt;0,F968/E968,0))</f>
        <v/>
      </c>
      <c r="P968" s="34">
        <f>IF($A968="",NA(),IF(K968+L968&gt;0,K968/(K968+L968),0.5))</f>
        <v/>
      </c>
      <c r="Q968" s="34">
        <f>IF($A968="",NA(),1-P968)</f>
        <v/>
      </c>
      <c r="R968" s="33">
        <f>IF($A968="",NA(),MAX(0,E968-F968)*IF(G968&gt;0,H968/G968,COMPAREC_PAD)*IF(I968&gt;0,J968/I968,VALIDOS_PAD))</f>
        <v/>
      </c>
      <c r="S968" s="34">
        <f>IF($A968="",NA(),IF(R968&gt;0,0.5-(K968-L968)/(2*R968),0))</f>
        <v/>
      </c>
      <c r="T968" s="34">
        <f>IF($A968="",NA(),IF(R968&lt;=0,IF(K968&gt;L968,1,IF(K968&lt;L968,0,0.5)),1-NORMDIST(S968,P968+AJUSTE,SIGMA,TRUE)))</f>
        <v/>
      </c>
      <c r="U968" s="34">
        <f>IF($A968="",NA(),1-T968)</f>
        <v/>
      </c>
    </row>
    <row r="969">
      <c r="C969" s="33" t="n"/>
      <c r="D969" s="33" t="n"/>
      <c r="E969" s="33" t="n"/>
      <c r="F969" s="33" t="n"/>
      <c r="G969" s="33" t="n"/>
      <c r="H969" s="33" t="n"/>
      <c r="I969" s="33" t="n"/>
      <c r="J969" s="33" t="n"/>
      <c r="K969" s="33" t="n"/>
      <c r="L969" s="33" t="n"/>
      <c r="N969" s="34">
        <f>IF($A969="",NA(),IF(C969&gt;0,D969/C969,0))</f>
        <v/>
      </c>
      <c r="O969" s="34">
        <f>IF($A969="",NA(),IF(E969&gt;0,F969/E969,0))</f>
        <v/>
      </c>
      <c r="P969" s="34">
        <f>IF($A969="",NA(),IF(K969+L969&gt;0,K969/(K969+L969),0.5))</f>
        <v/>
      </c>
      <c r="Q969" s="34">
        <f>IF($A969="",NA(),1-P969)</f>
        <v/>
      </c>
      <c r="R969" s="33">
        <f>IF($A969="",NA(),MAX(0,E969-F969)*IF(G969&gt;0,H969/G969,COMPAREC_PAD)*IF(I969&gt;0,J969/I969,VALIDOS_PAD))</f>
        <v/>
      </c>
      <c r="S969" s="34">
        <f>IF($A969="",NA(),IF(R969&gt;0,0.5-(K969-L969)/(2*R969),0))</f>
        <v/>
      </c>
      <c r="T969" s="34">
        <f>IF($A969="",NA(),IF(R969&lt;=0,IF(K969&gt;L969,1,IF(K969&lt;L969,0,0.5)),1-NORMDIST(S969,P969+AJUSTE,SIGMA,TRUE)))</f>
        <v/>
      </c>
      <c r="U969" s="34">
        <f>IF($A969="",NA(),1-T969)</f>
        <v/>
      </c>
    </row>
    <row r="970"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  <c r="L970" s="33" t="n"/>
      <c r="N970" s="34">
        <f>IF($A970="",NA(),IF(C970&gt;0,D970/C970,0))</f>
        <v/>
      </c>
      <c r="O970" s="34">
        <f>IF($A970="",NA(),IF(E970&gt;0,F970/E970,0))</f>
        <v/>
      </c>
      <c r="P970" s="34">
        <f>IF($A970="",NA(),IF(K970+L970&gt;0,K970/(K970+L970),0.5))</f>
        <v/>
      </c>
      <c r="Q970" s="34">
        <f>IF($A970="",NA(),1-P970)</f>
        <v/>
      </c>
      <c r="R970" s="33">
        <f>IF($A970="",NA(),MAX(0,E970-F970)*IF(G970&gt;0,H970/G970,COMPAREC_PAD)*IF(I970&gt;0,J970/I970,VALIDOS_PAD))</f>
        <v/>
      </c>
      <c r="S970" s="34">
        <f>IF($A970="",NA(),IF(R970&gt;0,0.5-(K970-L970)/(2*R970),0))</f>
        <v/>
      </c>
      <c r="T970" s="34">
        <f>IF($A970="",NA(),IF(R970&lt;=0,IF(K970&gt;L970,1,IF(K970&lt;L970,0,0.5)),1-NORMDIST(S970,P970+AJUSTE,SIGMA,TRUE)))</f>
        <v/>
      </c>
      <c r="U970" s="34">
        <f>IF($A970="",NA(),1-T970)</f>
        <v/>
      </c>
    </row>
    <row r="971">
      <c r="C971" s="33" t="n"/>
      <c r="D971" s="33" t="n"/>
      <c r="E971" s="33" t="n"/>
      <c r="F971" s="33" t="n"/>
      <c r="G971" s="33" t="n"/>
      <c r="H971" s="33" t="n"/>
      <c r="I971" s="33" t="n"/>
      <c r="J971" s="33" t="n"/>
      <c r="K971" s="33" t="n"/>
      <c r="L971" s="33" t="n"/>
      <c r="N971" s="34">
        <f>IF($A971="",NA(),IF(C971&gt;0,D971/C971,0))</f>
        <v/>
      </c>
      <c r="O971" s="34">
        <f>IF($A971="",NA(),IF(E971&gt;0,F971/E971,0))</f>
        <v/>
      </c>
      <c r="P971" s="34">
        <f>IF($A971="",NA(),IF(K971+L971&gt;0,K971/(K971+L971),0.5))</f>
        <v/>
      </c>
      <c r="Q971" s="34">
        <f>IF($A971="",NA(),1-P971)</f>
        <v/>
      </c>
      <c r="R971" s="33">
        <f>IF($A971="",NA(),MAX(0,E971-F971)*IF(G971&gt;0,H971/G971,COMPAREC_PAD)*IF(I971&gt;0,J971/I971,VALIDOS_PAD))</f>
        <v/>
      </c>
      <c r="S971" s="34">
        <f>IF($A971="",NA(),IF(R971&gt;0,0.5-(K971-L971)/(2*R971),0))</f>
        <v/>
      </c>
      <c r="T971" s="34">
        <f>IF($A971="",NA(),IF(R971&lt;=0,IF(K971&gt;L971,1,IF(K971&lt;L971,0,0.5)),1-NORMDIST(S971,P971+AJUSTE,SIGMA,TRUE)))</f>
        <v/>
      </c>
      <c r="U971" s="34">
        <f>IF($A971="",NA(),1-T971)</f>
        <v/>
      </c>
    </row>
    <row r="972">
      <c r="C972" s="33" t="n"/>
      <c r="D972" s="33" t="n"/>
      <c r="E972" s="33" t="n"/>
      <c r="F972" s="33" t="n"/>
      <c r="G972" s="33" t="n"/>
      <c r="H972" s="33" t="n"/>
      <c r="I972" s="33" t="n"/>
      <c r="J972" s="33" t="n"/>
      <c r="K972" s="33" t="n"/>
      <c r="L972" s="33" t="n"/>
      <c r="N972" s="34">
        <f>IF($A972="",NA(),IF(C972&gt;0,D972/C972,0))</f>
        <v/>
      </c>
      <c r="O972" s="34">
        <f>IF($A972="",NA(),IF(E972&gt;0,F972/E972,0))</f>
        <v/>
      </c>
      <c r="P972" s="34">
        <f>IF($A972="",NA(),IF(K972+L972&gt;0,K972/(K972+L972),0.5))</f>
        <v/>
      </c>
      <c r="Q972" s="34">
        <f>IF($A972="",NA(),1-P972)</f>
        <v/>
      </c>
      <c r="R972" s="33">
        <f>IF($A972="",NA(),MAX(0,E972-F972)*IF(G972&gt;0,H972/G972,COMPAREC_PAD)*IF(I972&gt;0,J972/I972,VALIDOS_PAD))</f>
        <v/>
      </c>
      <c r="S972" s="34">
        <f>IF($A972="",NA(),IF(R972&gt;0,0.5-(K972-L972)/(2*R972),0))</f>
        <v/>
      </c>
      <c r="T972" s="34">
        <f>IF($A972="",NA(),IF(R972&lt;=0,IF(K972&gt;L972,1,IF(K972&lt;L972,0,0.5)),1-NORMDIST(S972,P972+AJUSTE,SIGMA,TRUE)))</f>
        <v/>
      </c>
      <c r="U972" s="34">
        <f>IF($A972="",NA(),1-T972)</f>
        <v/>
      </c>
    </row>
    <row r="973">
      <c r="C973" s="33" t="n"/>
      <c r="D973" s="33" t="n"/>
      <c r="E973" s="33" t="n"/>
      <c r="F973" s="33" t="n"/>
      <c r="G973" s="33" t="n"/>
      <c r="H973" s="33" t="n"/>
      <c r="I973" s="33" t="n"/>
      <c r="J973" s="33" t="n"/>
      <c r="K973" s="33" t="n"/>
      <c r="L973" s="33" t="n"/>
      <c r="N973" s="34">
        <f>IF($A973="",NA(),IF(C973&gt;0,D973/C973,0))</f>
        <v/>
      </c>
      <c r="O973" s="34">
        <f>IF($A973="",NA(),IF(E973&gt;0,F973/E973,0))</f>
        <v/>
      </c>
      <c r="P973" s="34">
        <f>IF($A973="",NA(),IF(K973+L973&gt;0,K973/(K973+L973),0.5))</f>
        <v/>
      </c>
      <c r="Q973" s="34">
        <f>IF($A973="",NA(),1-P973)</f>
        <v/>
      </c>
      <c r="R973" s="33">
        <f>IF($A973="",NA(),MAX(0,E973-F973)*IF(G973&gt;0,H973/G973,COMPAREC_PAD)*IF(I973&gt;0,J973/I973,VALIDOS_PAD))</f>
        <v/>
      </c>
      <c r="S973" s="34">
        <f>IF($A973="",NA(),IF(R973&gt;0,0.5-(K973-L973)/(2*R973),0))</f>
        <v/>
      </c>
      <c r="T973" s="34">
        <f>IF($A973="",NA(),IF(R973&lt;=0,IF(K973&gt;L973,1,IF(K973&lt;L973,0,0.5)),1-NORMDIST(S973,P973+AJUSTE,SIGMA,TRUE)))</f>
        <v/>
      </c>
      <c r="U973" s="34">
        <f>IF($A973="",NA(),1-T973)</f>
        <v/>
      </c>
    </row>
    <row r="974">
      <c r="C974" s="33" t="n"/>
      <c r="D974" s="33" t="n"/>
      <c r="E974" s="33" t="n"/>
      <c r="F974" s="33" t="n"/>
      <c r="G974" s="33" t="n"/>
      <c r="H974" s="33" t="n"/>
      <c r="I974" s="33" t="n"/>
      <c r="J974" s="33" t="n"/>
      <c r="K974" s="33" t="n"/>
      <c r="L974" s="33" t="n"/>
      <c r="N974" s="34">
        <f>IF($A974="",NA(),IF(C974&gt;0,D974/C974,0))</f>
        <v/>
      </c>
      <c r="O974" s="34">
        <f>IF($A974="",NA(),IF(E974&gt;0,F974/E974,0))</f>
        <v/>
      </c>
      <c r="P974" s="34">
        <f>IF($A974="",NA(),IF(K974+L974&gt;0,K974/(K974+L974),0.5))</f>
        <v/>
      </c>
      <c r="Q974" s="34">
        <f>IF($A974="",NA(),1-P974)</f>
        <v/>
      </c>
      <c r="R974" s="33">
        <f>IF($A974="",NA(),MAX(0,E974-F974)*IF(G974&gt;0,H974/G974,COMPAREC_PAD)*IF(I974&gt;0,J974/I974,VALIDOS_PAD))</f>
        <v/>
      </c>
      <c r="S974" s="34">
        <f>IF($A974="",NA(),IF(R974&gt;0,0.5-(K974-L974)/(2*R974),0))</f>
        <v/>
      </c>
      <c r="T974" s="34">
        <f>IF($A974="",NA(),IF(R974&lt;=0,IF(K974&gt;L974,1,IF(K974&lt;L974,0,0.5)),1-NORMDIST(S974,P974+AJUSTE,SIGMA,TRUE)))</f>
        <v/>
      </c>
      <c r="U974" s="34">
        <f>IF($A974="",NA(),1-T974)</f>
        <v/>
      </c>
    </row>
    <row r="975">
      <c r="C975" s="33" t="n"/>
      <c r="D975" s="33" t="n"/>
      <c r="E975" s="33" t="n"/>
      <c r="F975" s="33" t="n"/>
      <c r="G975" s="33" t="n"/>
      <c r="H975" s="33" t="n"/>
      <c r="I975" s="33" t="n"/>
      <c r="J975" s="33" t="n"/>
      <c r="K975" s="33" t="n"/>
      <c r="L975" s="33" t="n"/>
      <c r="N975" s="34">
        <f>IF($A975="",NA(),IF(C975&gt;0,D975/C975,0))</f>
        <v/>
      </c>
      <c r="O975" s="34">
        <f>IF($A975="",NA(),IF(E975&gt;0,F975/E975,0))</f>
        <v/>
      </c>
      <c r="P975" s="34">
        <f>IF($A975="",NA(),IF(K975+L975&gt;0,K975/(K975+L975),0.5))</f>
        <v/>
      </c>
      <c r="Q975" s="34">
        <f>IF($A975="",NA(),1-P975)</f>
        <v/>
      </c>
      <c r="R975" s="33">
        <f>IF($A975="",NA(),MAX(0,E975-F975)*IF(G975&gt;0,H975/G975,COMPAREC_PAD)*IF(I975&gt;0,J975/I975,VALIDOS_PAD))</f>
        <v/>
      </c>
      <c r="S975" s="34">
        <f>IF($A975="",NA(),IF(R975&gt;0,0.5-(K975-L975)/(2*R975),0))</f>
        <v/>
      </c>
      <c r="T975" s="34">
        <f>IF($A975="",NA(),IF(R975&lt;=0,IF(K975&gt;L975,1,IF(K975&lt;L975,0,0.5)),1-NORMDIST(S975,P975+AJUSTE,SIGMA,TRUE)))</f>
        <v/>
      </c>
      <c r="U975" s="34">
        <f>IF($A975="",NA(),1-T975)</f>
        <v/>
      </c>
    </row>
    <row r="976">
      <c r="C976" s="33" t="n"/>
      <c r="D976" s="33" t="n"/>
      <c r="E976" s="33" t="n"/>
      <c r="F976" s="33" t="n"/>
      <c r="G976" s="33" t="n"/>
      <c r="H976" s="33" t="n"/>
      <c r="I976" s="33" t="n"/>
      <c r="J976" s="33" t="n"/>
      <c r="K976" s="33" t="n"/>
      <c r="L976" s="33" t="n"/>
      <c r="N976" s="34">
        <f>IF($A976="",NA(),IF(C976&gt;0,D976/C976,0))</f>
        <v/>
      </c>
      <c r="O976" s="34">
        <f>IF($A976="",NA(),IF(E976&gt;0,F976/E976,0))</f>
        <v/>
      </c>
      <c r="P976" s="34">
        <f>IF($A976="",NA(),IF(K976+L976&gt;0,K976/(K976+L976),0.5))</f>
        <v/>
      </c>
      <c r="Q976" s="34">
        <f>IF($A976="",NA(),1-P976)</f>
        <v/>
      </c>
      <c r="R976" s="33">
        <f>IF($A976="",NA(),MAX(0,E976-F976)*IF(G976&gt;0,H976/G976,COMPAREC_PAD)*IF(I976&gt;0,J976/I976,VALIDOS_PAD))</f>
        <v/>
      </c>
      <c r="S976" s="34">
        <f>IF($A976="",NA(),IF(R976&gt;0,0.5-(K976-L976)/(2*R976),0))</f>
        <v/>
      </c>
      <c r="T976" s="34">
        <f>IF($A976="",NA(),IF(R976&lt;=0,IF(K976&gt;L976,1,IF(K976&lt;L976,0,0.5)),1-NORMDIST(S976,P976+AJUSTE,SIGMA,TRUE)))</f>
        <v/>
      </c>
      <c r="U976" s="34">
        <f>IF($A976="",NA(),1-T976)</f>
        <v/>
      </c>
    </row>
    <row r="977">
      <c r="C977" s="33" t="n"/>
      <c r="D977" s="33" t="n"/>
      <c r="E977" s="33" t="n"/>
      <c r="F977" s="33" t="n"/>
      <c r="G977" s="33" t="n"/>
      <c r="H977" s="33" t="n"/>
      <c r="I977" s="33" t="n"/>
      <c r="J977" s="33" t="n"/>
      <c r="K977" s="33" t="n"/>
      <c r="L977" s="33" t="n"/>
      <c r="N977" s="34">
        <f>IF($A977="",NA(),IF(C977&gt;0,D977/C977,0))</f>
        <v/>
      </c>
      <c r="O977" s="34">
        <f>IF($A977="",NA(),IF(E977&gt;0,F977/E977,0))</f>
        <v/>
      </c>
      <c r="P977" s="34">
        <f>IF($A977="",NA(),IF(K977+L977&gt;0,K977/(K977+L977),0.5))</f>
        <v/>
      </c>
      <c r="Q977" s="34">
        <f>IF($A977="",NA(),1-P977)</f>
        <v/>
      </c>
      <c r="R977" s="33">
        <f>IF($A977="",NA(),MAX(0,E977-F977)*IF(G977&gt;0,H977/G977,COMPAREC_PAD)*IF(I977&gt;0,J977/I977,VALIDOS_PAD))</f>
        <v/>
      </c>
      <c r="S977" s="34">
        <f>IF($A977="",NA(),IF(R977&gt;0,0.5-(K977-L977)/(2*R977),0))</f>
        <v/>
      </c>
      <c r="T977" s="34">
        <f>IF($A977="",NA(),IF(R977&lt;=0,IF(K977&gt;L977,1,IF(K977&lt;L977,0,0.5)),1-NORMDIST(S977,P977+AJUSTE,SIGMA,TRUE)))</f>
        <v/>
      </c>
      <c r="U977" s="34">
        <f>IF($A977="",NA(),1-T977)</f>
        <v/>
      </c>
    </row>
    <row r="978">
      <c r="C978" s="33" t="n"/>
      <c r="D978" s="33" t="n"/>
      <c r="E978" s="33" t="n"/>
      <c r="F978" s="33" t="n"/>
      <c r="G978" s="33" t="n"/>
      <c r="H978" s="33" t="n"/>
      <c r="I978" s="33" t="n"/>
      <c r="J978" s="33" t="n"/>
      <c r="K978" s="33" t="n"/>
      <c r="L978" s="33" t="n"/>
      <c r="N978" s="34">
        <f>IF($A978="",NA(),IF(C978&gt;0,D978/C978,0))</f>
        <v/>
      </c>
      <c r="O978" s="34">
        <f>IF($A978="",NA(),IF(E978&gt;0,F978/E978,0))</f>
        <v/>
      </c>
      <c r="P978" s="34">
        <f>IF($A978="",NA(),IF(K978+L978&gt;0,K978/(K978+L978),0.5))</f>
        <v/>
      </c>
      <c r="Q978" s="34">
        <f>IF($A978="",NA(),1-P978)</f>
        <v/>
      </c>
      <c r="R978" s="33">
        <f>IF($A978="",NA(),MAX(0,E978-F978)*IF(G978&gt;0,H978/G978,COMPAREC_PAD)*IF(I978&gt;0,J978/I978,VALIDOS_PAD))</f>
        <v/>
      </c>
      <c r="S978" s="34">
        <f>IF($A978="",NA(),IF(R978&gt;0,0.5-(K978-L978)/(2*R978),0))</f>
        <v/>
      </c>
      <c r="T978" s="34">
        <f>IF($A978="",NA(),IF(R978&lt;=0,IF(K978&gt;L978,1,IF(K978&lt;L978,0,0.5)),1-NORMDIST(S978,P978+AJUSTE,SIGMA,TRUE)))</f>
        <v/>
      </c>
      <c r="U978" s="34">
        <f>IF($A978="",NA(),1-T978)</f>
        <v/>
      </c>
    </row>
    <row r="979">
      <c r="C979" s="33" t="n"/>
      <c r="D979" s="33" t="n"/>
      <c r="E979" s="33" t="n"/>
      <c r="F979" s="33" t="n"/>
      <c r="G979" s="33" t="n"/>
      <c r="H979" s="33" t="n"/>
      <c r="I979" s="33" t="n"/>
      <c r="J979" s="33" t="n"/>
      <c r="K979" s="33" t="n"/>
      <c r="L979" s="33" t="n"/>
      <c r="N979" s="34">
        <f>IF($A979="",NA(),IF(C979&gt;0,D979/C979,0))</f>
        <v/>
      </c>
      <c r="O979" s="34">
        <f>IF($A979="",NA(),IF(E979&gt;0,F979/E979,0))</f>
        <v/>
      </c>
      <c r="P979" s="34">
        <f>IF($A979="",NA(),IF(K979+L979&gt;0,K979/(K979+L979),0.5))</f>
        <v/>
      </c>
      <c r="Q979" s="34">
        <f>IF($A979="",NA(),1-P979)</f>
        <v/>
      </c>
      <c r="R979" s="33">
        <f>IF($A979="",NA(),MAX(0,E979-F979)*IF(G979&gt;0,H979/G979,COMPAREC_PAD)*IF(I979&gt;0,J979/I979,VALIDOS_PAD))</f>
        <v/>
      </c>
      <c r="S979" s="34">
        <f>IF($A979="",NA(),IF(R979&gt;0,0.5-(K979-L979)/(2*R979),0))</f>
        <v/>
      </c>
      <c r="T979" s="34">
        <f>IF($A979="",NA(),IF(R979&lt;=0,IF(K979&gt;L979,1,IF(K979&lt;L979,0,0.5)),1-NORMDIST(S979,P979+AJUSTE,SIGMA,TRUE)))</f>
        <v/>
      </c>
      <c r="U979" s="34">
        <f>IF($A979="",NA(),1-T979)</f>
        <v/>
      </c>
    </row>
    <row r="980">
      <c r="C980" s="33" t="n"/>
      <c r="D980" s="33" t="n"/>
      <c r="E980" s="33" t="n"/>
      <c r="F980" s="33" t="n"/>
      <c r="G980" s="33" t="n"/>
      <c r="H980" s="33" t="n"/>
      <c r="I980" s="33" t="n"/>
      <c r="J980" s="33" t="n"/>
      <c r="K980" s="33" t="n"/>
      <c r="L980" s="33" t="n"/>
      <c r="N980" s="34">
        <f>IF($A980="",NA(),IF(C980&gt;0,D980/C980,0))</f>
        <v/>
      </c>
      <c r="O980" s="34">
        <f>IF($A980="",NA(),IF(E980&gt;0,F980/E980,0))</f>
        <v/>
      </c>
      <c r="P980" s="34">
        <f>IF($A980="",NA(),IF(K980+L980&gt;0,K980/(K980+L980),0.5))</f>
        <v/>
      </c>
      <c r="Q980" s="34">
        <f>IF($A980="",NA(),1-P980)</f>
        <v/>
      </c>
      <c r="R980" s="33">
        <f>IF($A980="",NA(),MAX(0,E980-F980)*IF(G980&gt;0,H980/G980,COMPAREC_PAD)*IF(I980&gt;0,J980/I980,VALIDOS_PAD))</f>
        <v/>
      </c>
      <c r="S980" s="34">
        <f>IF($A980="",NA(),IF(R980&gt;0,0.5-(K980-L980)/(2*R980),0))</f>
        <v/>
      </c>
      <c r="T980" s="34">
        <f>IF($A980="",NA(),IF(R980&lt;=0,IF(K980&gt;L980,1,IF(K980&lt;L980,0,0.5)),1-NORMDIST(S980,P980+AJUSTE,SIGMA,TRUE)))</f>
        <v/>
      </c>
      <c r="U980" s="34">
        <f>IF($A980="",NA(),1-T980)</f>
        <v/>
      </c>
    </row>
    <row r="981">
      <c r="C981" s="33" t="n"/>
      <c r="D981" s="33" t="n"/>
      <c r="E981" s="33" t="n"/>
      <c r="F981" s="33" t="n"/>
      <c r="G981" s="33" t="n"/>
      <c r="H981" s="33" t="n"/>
      <c r="I981" s="33" t="n"/>
      <c r="J981" s="33" t="n"/>
      <c r="K981" s="33" t="n"/>
      <c r="L981" s="33" t="n"/>
      <c r="N981" s="34">
        <f>IF($A981="",NA(),IF(C981&gt;0,D981/C981,0))</f>
        <v/>
      </c>
      <c r="O981" s="34">
        <f>IF($A981="",NA(),IF(E981&gt;0,F981/E981,0))</f>
        <v/>
      </c>
      <c r="P981" s="34">
        <f>IF($A981="",NA(),IF(K981+L981&gt;0,K981/(K981+L981),0.5))</f>
        <v/>
      </c>
      <c r="Q981" s="34">
        <f>IF($A981="",NA(),1-P981)</f>
        <v/>
      </c>
      <c r="R981" s="33">
        <f>IF($A981="",NA(),MAX(0,E981-F981)*IF(G981&gt;0,H981/G981,COMPAREC_PAD)*IF(I981&gt;0,J981/I981,VALIDOS_PAD))</f>
        <v/>
      </c>
      <c r="S981" s="34">
        <f>IF($A981="",NA(),IF(R981&gt;0,0.5-(K981-L981)/(2*R981),0))</f>
        <v/>
      </c>
      <c r="T981" s="34">
        <f>IF($A981="",NA(),IF(R981&lt;=0,IF(K981&gt;L981,1,IF(K981&lt;L981,0,0.5)),1-NORMDIST(S981,P981+AJUSTE,SIGMA,TRUE)))</f>
        <v/>
      </c>
      <c r="U981" s="34">
        <f>IF($A981="",NA(),1-T981)</f>
        <v/>
      </c>
    </row>
    <row r="982">
      <c r="C982" s="33" t="n"/>
      <c r="D982" s="33" t="n"/>
      <c r="E982" s="33" t="n"/>
      <c r="F982" s="33" t="n"/>
      <c r="G982" s="33" t="n"/>
      <c r="H982" s="33" t="n"/>
      <c r="I982" s="33" t="n"/>
      <c r="J982" s="33" t="n"/>
      <c r="K982" s="33" t="n"/>
      <c r="L982" s="33" t="n"/>
      <c r="N982" s="34">
        <f>IF($A982="",NA(),IF(C982&gt;0,D982/C982,0))</f>
        <v/>
      </c>
      <c r="O982" s="34">
        <f>IF($A982="",NA(),IF(E982&gt;0,F982/E982,0))</f>
        <v/>
      </c>
      <c r="P982" s="34">
        <f>IF($A982="",NA(),IF(K982+L982&gt;0,K982/(K982+L982),0.5))</f>
        <v/>
      </c>
      <c r="Q982" s="34">
        <f>IF($A982="",NA(),1-P982)</f>
        <v/>
      </c>
      <c r="R982" s="33">
        <f>IF($A982="",NA(),MAX(0,E982-F982)*IF(G982&gt;0,H982/G982,COMPAREC_PAD)*IF(I982&gt;0,J982/I982,VALIDOS_PAD))</f>
        <v/>
      </c>
      <c r="S982" s="34">
        <f>IF($A982="",NA(),IF(R982&gt;0,0.5-(K982-L982)/(2*R982),0))</f>
        <v/>
      </c>
      <c r="T982" s="34">
        <f>IF($A982="",NA(),IF(R982&lt;=0,IF(K982&gt;L982,1,IF(K982&lt;L982,0,0.5)),1-NORMDIST(S982,P982+AJUSTE,SIGMA,TRUE)))</f>
        <v/>
      </c>
      <c r="U982" s="34">
        <f>IF($A982="",NA(),1-T982)</f>
        <v/>
      </c>
    </row>
    <row r="983">
      <c r="C983" s="33" t="n"/>
      <c r="D983" s="33" t="n"/>
      <c r="E983" s="33" t="n"/>
      <c r="F983" s="33" t="n"/>
      <c r="G983" s="33" t="n"/>
      <c r="H983" s="33" t="n"/>
      <c r="I983" s="33" t="n"/>
      <c r="J983" s="33" t="n"/>
      <c r="K983" s="33" t="n"/>
      <c r="L983" s="33" t="n"/>
      <c r="N983" s="34">
        <f>IF($A983="",NA(),IF(C983&gt;0,D983/C983,0))</f>
        <v/>
      </c>
      <c r="O983" s="34">
        <f>IF($A983="",NA(),IF(E983&gt;0,F983/E983,0))</f>
        <v/>
      </c>
      <c r="P983" s="34">
        <f>IF($A983="",NA(),IF(K983+L983&gt;0,K983/(K983+L983),0.5))</f>
        <v/>
      </c>
      <c r="Q983" s="34">
        <f>IF($A983="",NA(),1-P983)</f>
        <v/>
      </c>
      <c r="R983" s="33">
        <f>IF($A983="",NA(),MAX(0,E983-F983)*IF(G983&gt;0,H983/G983,COMPAREC_PAD)*IF(I983&gt;0,J983/I983,VALIDOS_PAD))</f>
        <v/>
      </c>
      <c r="S983" s="34">
        <f>IF($A983="",NA(),IF(R983&gt;0,0.5-(K983-L983)/(2*R983),0))</f>
        <v/>
      </c>
      <c r="T983" s="34">
        <f>IF($A983="",NA(),IF(R983&lt;=0,IF(K983&gt;L983,1,IF(K983&lt;L983,0,0.5)),1-NORMDIST(S983,P983+AJUSTE,SIGMA,TRUE)))</f>
        <v/>
      </c>
      <c r="U983" s="34">
        <f>IF($A983="",NA(),1-T983)</f>
        <v/>
      </c>
    </row>
    <row r="984">
      <c r="C984" s="33" t="n"/>
      <c r="D984" s="33" t="n"/>
      <c r="E984" s="33" t="n"/>
      <c r="F984" s="33" t="n"/>
      <c r="G984" s="33" t="n"/>
      <c r="H984" s="33" t="n"/>
      <c r="I984" s="33" t="n"/>
      <c r="J984" s="33" t="n"/>
      <c r="K984" s="33" t="n"/>
      <c r="L984" s="33" t="n"/>
      <c r="N984" s="34">
        <f>IF($A984="",NA(),IF(C984&gt;0,D984/C984,0))</f>
        <v/>
      </c>
      <c r="O984" s="34">
        <f>IF($A984="",NA(),IF(E984&gt;0,F984/E984,0))</f>
        <v/>
      </c>
      <c r="P984" s="34">
        <f>IF($A984="",NA(),IF(K984+L984&gt;0,K984/(K984+L984),0.5))</f>
        <v/>
      </c>
      <c r="Q984" s="34">
        <f>IF($A984="",NA(),1-P984)</f>
        <v/>
      </c>
      <c r="R984" s="33">
        <f>IF($A984="",NA(),MAX(0,E984-F984)*IF(G984&gt;0,H984/G984,COMPAREC_PAD)*IF(I984&gt;0,J984/I984,VALIDOS_PAD))</f>
        <v/>
      </c>
      <c r="S984" s="34">
        <f>IF($A984="",NA(),IF(R984&gt;0,0.5-(K984-L984)/(2*R984),0))</f>
        <v/>
      </c>
      <c r="T984" s="34">
        <f>IF($A984="",NA(),IF(R984&lt;=0,IF(K984&gt;L984,1,IF(K984&lt;L984,0,0.5)),1-NORMDIST(S984,P984+AJUSTE,SIGMA,TRUE)))</f>
        <v/>
      </c>
      <c r="U984" s="34">
        <f>IF($A984="",NA(),1-T984)</f>
        <v/>
      </c>
    </row>
    <row r="985">
      <c r="C985" s="33" t="n"/>
      <c r="D985" s="33" t="n"/>
      <c r="E985" s="33" t="n"/>
      <c r="F985" s="33" t="n"/>
      <c r="G985" s="33" t="n"/>
      <c r="H985" s="33" t="n"/>
      <c r="I985" s="33" t="n"/>
      <c r="J985" s="33" t="n"/>
      <c r="K985" s="33" t="n"/>
      <c r="L985" s="33" t="n"/>
      <c r="N985" s="34">
        <f>IF($A985="",NA(),IF(C985&gt;0,D985/C985,0))</f>
        <v/>
      </c>
      <c r="O985" s="34">
        <f>IF($A985="",NA(),IF(E985&gt;0,F985/E985,0))</f>
        <v/>
      </c>
      <c r="P985" s="34">
        <f>IF($A985="",NA(),IF(K985+L985&gt;0,K985/(K985+L985),0.5))</f>
        <v/>
      </c>
      <c r="Q985" s="34">
        <f>IF($A985="",NA(),1-P985)</f>
        <v/>
      </c>
      <c r="R985" s="33">
        <f>IF($A985="",NA(),MAX(0,E985-F985)*IF(G985&gt;0,H985/G985,COMPAREC_PAD)*IF(I985&gt;0,J985/I985,VALIDOS_PAD))</f>
        <v/>
      </c>
      <c r="S985" s="34">
        <f>IF($A985="",NA(),IF(R985&gt;0,0.5-(K985-L985)/(2*R985),0))</f>
        <v/>
      </c>
      <c r="T985" s="34">
        <f>IF($A985="",NA(),IF(R985&lt;=0,IF(K985&gt;L985,1,IF(K985&lt;L985,0,0.5)),1-NORMDIST(S985,P985+AJUSTE,SIGMA,TRUE)))</f>
        <v/>
      </c>
      <c r="U985" s="34">
        <f>IF($A985="",NA(),1-T985)</f>
        <v/>
      </c>
    </row>
    <row r="986">
      <c r="C986" s="33" t="n"/>
      <c r="D986" s="33" t="n"/>
      <c r="E986" s="33" t="n"/>
      <c r="F986" s="33" t="n"/>
      <c r="G986" s="33" t="n"/>
      <c r="H986" s="33" t="n"/>
      <c r="I986" s="33" t="n"/>
      <c r="J986" s="33" t="n"/>
      <c r="K986" s="33" t="n"/>
      <c r="L986" s="33" t="n"/>
      <c r="N986" s="34">
        <f>IF($A986="",NA(),IF(C986&gt;0,D986/C986,0))</f>
        <v/>
      </c>
      <c r="O986" s="34">
        <f>IF($A986="",NA(),IF(E986&gt;0,F986/E986,0))</f>
        <v/>
      </c>
      <c r="P986" s="34">
        <f>IF($A986="",NA(),IF(K986+L986&gt;0,K986/(K986+L986),0.5))</f>
        <v/>
      </c>
      <c r="Q986" s="34">
        <f>IF($A986="",NA(),1-P986)</f>
        <v/>
      </c>
      <c r="R986" s="33">
        <f>IF($A986="",NA(),MAX(0,E986-F986)*IF(G986&gt;0,H986/G986,COMPAREC_PAD)*IF(I986&gt;0,J986/I986,VALIDOS_PAD))</f>
        <v/>
      </c>
      <c r="S986" s="34">
        <f>IF($A986="",NA(),IF(R986&gt;0,0.5-(K986-L986)/(2*R986),0))</f>
        <v/>
      </c>
      <c r="T986" s="34">
        <f>IF($A986="",NA(),IF(R986&lt;=0,IF(K986&gt;L986,1,IF(K986&lt;L986,0,0.5)),1-NORMDIST(S986,P986+AJUSTE,SIGMA,TRUE)))</f>
        <v/>
      </c>
      <c r="U986" s="34">
        <f>IF($A986="",NA(),1-T986)</f>
        <v/>
      </c>
    </row>
    <row r="987">
      <c r="C987" s="33" t="n"/>
      <c r="D987" s="33" t="n"/>
      <c r="E987" s="33" t="n"/>
      <c r="F987" s="33" t="n"/>
      <c r="G987" s="33" t="n"/>
      <c r="H987" s="33" t="n"/>
      <c r="I987" s="33" t="n"/>
      <c r="J987" s="33" t="n"/>
      <c r="K987" s="33" t="n"/>
      <c r="L987" s="33" t="n"/>
      <c r="N987" s="34">
        <f>IF($A987="",NA(),IF(C987&gt;0,D987/C987,0))</f>
        <v/>
      </c>
      <c r="O987" s="34">
        <f>IF($A987="",NA(),IF(E987&gt;0,F987/E987,0))</f>
        <v/>
      </c>
      <c r="P987" s="34">
        <f>IF($A987="",NA(),IF(K987+L987&gt;0,K987/(K987+L987),0.5))</f>
        <v/>
      </c>
      <c r="Q987" s="34">
        <f>IF($A987="",NA(),1-P987)</f>
        <v/>
      </c>
      <c r="R987" s="33">
        <f>IF($A987="",NA(),MAX(0,E987-F987)*IF(G987&gt;0,H987/G987,COMPAREC_PAD)*IF(I987&gt;0,J987/I987,VALIDOS_PAD))</f>
        <v/>
      </c>
      <c r="S987" s="34">
        <f>IF($A987="",NA(),IF(R987&gt;0,0.5-(K987-L987)/(2*R987),0))</f>
        <v/>
      </c>
      <c r="T987" s="34">
        <f>IF($A987="",NA(),IF(R987&lt;=0,IF(K987&gt;L987,1,IF(K987&lt;L987,0,0.5)),1-NORMDIST(S987,P987+AJUSTE,SIGMA,TRUE)))</f>
        <v/>
      </c>
      <c r="U987" s="34">
        <f>IF($A987="",NA(),1-T987)</f>
        <v/>
      </c>
    </row>
    <row r="988">
      <c r="C988" s="33" t="n"/>
      <c r="D988" s="33" t="n"/>
      <c r="E988" s="33" t="n"/>
      <c r="F988" s="33" t="n"/>
      <c r="G988" s="33" t="n"/>
      <c r="H988" s="33" t="n"/>
      <c r="I988" s="33" t="n"/>
      <c r="J988" s="33" t="n"/>
      <c r="K988" s="33" t="n"/>
      <c r="L988" s="33" t="n"/>
      <c r="N988" s="34">
        <f>IF($A988="",NA(),IF(C988&gt;0,D988/C988,0))</f>
        <v/>
      </c>
      <c r="O988" s="34">
        <f>IF($A988="",NA(),IF(E988&gt;0,F988/E988,0))</f>
        <v/>
      </c>
      <c r="P988" s="34">
        <f>IF($A988="",NA(),IF(K988+L988&gt;0,K988/(K988+L988),0.5))</f>
        <v/>
      </c>
      <c r="Q988" s="34">
        <f>IF($A988="",NA(),1-P988)</f>
        <v/>
      </c>
      <c r="R988" s="33">
        <f>IF($A988="",NA(),MAX(0,E988-F988)*IF(G988&gt;0,H988/G988,COMPAREC_PAD)*IF(I988&gt;0,J988/I988,VALIDOS_PAD))</f>
        <v/>
      </c>
      <c r="S988" s="34">
        <f>IF($A988="",NA(),IF(R988&gt;0,0.5-(K988-L988)/(2*R988),0))</f>
        <v/>
      </c>
      <c r="T988" s="34">
        <f>IF($A988="",NA(),IF(R988&lt;=0,IF(K988&gt;L988,1,IF(K988&lt;L988,0,0.5)),1-NORMDIST(S988,P988+AJUSTE,SIGMA,TRUE)))</f>
        <v/>
      </c>
      <c r="U988" s="34">
        <f>IF($A988="",NA(),1-T988)</f>
        <v/>
      </c>
    </row>
    <row r="989">
      <c r="C989" s="33" t="n"/>
      <c r="D989" s="33" t="n"/>
      <c r="E989" s="33" t="n"/>
      <c r="F989" s="33" t="n"/>
      <c r="G989" s="33" t="n"/>
      <c r="H989" s="33" t="n"/>
      <c r="I989" s="33" t="n"/>
      <c r="J989" s="33" t="n"/>
      <c r="K989" s="33" t="n"/>
      <c r="L989" s="33" t="n"/>
      <c r="N989" s="34">
        <f>IF($A989="",NA(),IF(C989&gt;0,D989/C989,0))</f>
        <v/>
      </c>
      <c r="O989" s="34">
        <f>IF($A989="",NA(),IF(E989&gt;0,F989/E989,0))</f>
        <v/>
      </c>
      <c r="P989" s="34">
        <f>IF($A989="",NA(),IF(K989+L989&gt;0,K989/(K989+L989),0.5))</f>
        <v/>
      </c>
      <c r="Q989" s="34">
        <f>IF($A989="",NA(),1-P989)</f>
        <v/>
      </c>
      <c r="R989" s="33">
        <f>IF($A989="",NA(),MAX(0,E989-F989)*IF(G989&gt;0,H989/G989,COMPAREC_PAD)*IF(I989&gt;0,J989/I989,VALIDOS_PAD))</f>
        <v/>
      </c>
      <c r="S989" s="34">
        <f>IF($A989="",NA(),IF(R989&gt;0,0.5-(K989-L989)/(2*R989),0))</f>
        <v/>
      </c>
      <c r="T989" s="34">
        <f>IF($A989="",NA(),IF(R989&lt;=0,IF(K989&gt;L989,1,IF(K989&lt;L989,0,0.5)),1-NORMDIST(S989,P989+AJUSTE,SIGMA,TRUE)))</f>
        <v/>
      </c>
      <c r="U989" s="34">
        <f>IF($A989="",NA(),1-T989)</f>
        <v/>
      </c>
    </row>
    <row r="990">
      <c r="C990" s="33" t="n"/>
      <c r="D990" s="33" t="n"/>
      <c r="E990" s="33" t="n"/>
      <c r="F990" s="33" t="n"/>
      <c r="G990" s="33" t="n"/>
      <c r="H990" s="33" t="n"/>
      <c r="I990" s="33" t="n"/>
      <c r="J990" s="33" t="n"/>
      <c r="K990" s="33" t="n"/>
      <c r="L990" s="33" t="n"/>
      <c r="N990" s="34">
        <f>IF($A990="",NA(),IF(C990&gt;0,D990/C990,0))</f>
        <v/>
      </c>
      <c r="O990" s="34">
        <f>IF($A990="",NA(),IF(E990&gt;0,F990/E990,0))</f>
        <v/>
      </c>
      <c r="P990" s="34">
        <f>IF($A990="",NA(),IF(K990+L990&gt;0,K990/(K990+L990),0.5))</f>
        <v/>
      </c>
      <c r="Q990" s="34">
        <f>IF($A990="",NA(),1-P990)</f>
        <v/>
      </c>
      <c r="R990" s="33">
        <f>IF($A990="",NA(),MAX(0,E990-F990)*IF(G990&gt;0,H990/G990,COMPAREC_PAD)*IF(I990&gt;0,J990/I990,VALIDOS_PAD))</f>
        <v/>
      </c>
      <c r="S990" s="34">
        <f>IF($A990="",NA(),IF(R990&gt;0,0.5-(K990-L990)/(2*R990),0))</f>
        <v/>
      </c>
      <c r="T990" s="34">
        <f>IF($A990="",NA(),IF(R990&lt;=0,IF(K990&gt;L990,1,IF(K990&lt;L990,0,0.5)),1-NORMDIST(S990,P990+AJUSTE,SIGMA,TRUE)))</f>
        <v/>
      </c>
      <c r="U990" s="34">
        <f>IF($A990="",NA(),1-T990)</f>
        <v/>
      </c>
    </row>
    <row r="991">
      <c r="C991" s="33" t="n"/>
      <c r="D991" s="33" t="n"/>
      <c r="E991" s="33" t="n"/>
      <c r="F991" s="33" t="n"/>
      <c r="G991" s="33" t="n"/>
      <c r="H991" s="33" t="n"/>
      <c r="I991" s="33" t="n"/>
      <c r="J991" s="33" t="n"/>
      <c r="K991" s="33" t="n"/>
      <c r="L991" s="33" t="n"/>
      <c r="N991" s="34">
        <f>IF($A991="",NA(),IF(C991&gt;0,D991/C991,0))</f>
        <v/>
      </c>
      <c r="O991" s="34">
        <f>IF($A991="",NA(),IF(E991&gt;0,F991/E991,0))</f>
        <v/>
      </c>
      <c r="P991" s="34">
        <f>IF($A991="",NA(),IF(K991+L991&gt;0,K991/(K991+L991),0.5))</f>
        <v/>
      </c>
      <c r="Q991" s="34">
        <f>IF($A991="",NA(),1-P991)</f>
        <v/>
      </c>
      <c r="R991" s="33">
        <f>IF($A991="",NA(),MAX(0,E991-F991)*IF(G991&gt;0,H991/G991,COMPAREC_PAD)*IF(I991&gt;0,J991/I991,VALIDOS_PAD))</f>
        <v/>
      </c>
      <c r="S991" s="34">
        <f>IF($A991="",NA(),IF(R991&gt;0,0.5-(K991-L991)/(2*R991),0))</f>
        <v/>
      </c>
      <c r="T991" s="34">
        <f>IF($A991="",NA(),IF(R991&lt;=0,IF(K991&gt;L991,1,IF(K991&lt;L991,0,0.5)),1-NORMDIST(S991,P991+AJUSTE,SIGMA,TRUE)))</f>
        <v/>
      </c>
      <c r="U991" s="34">
        <f>IF($A991="",NA(),1-T991)</f>
        <v/>
      </c>
    </row>
    <row r="992">
      <c r="C992" s="33" t="n"/>
      <c r="D992" s="33" t="n"/>
      <c r="E992" s="33" t="n"/>
      <c r="F992" s="33" t="n"/>
      <c r="G992" s="33" t="n"/>
      <c r="H992" s="33" t="n"/>
      <c r="I992" s="33" t="n"/>
      <c r="J992" s="33" t="n"/>
      <c r="K992" s="33" t="n"/>
      <c r="L992" s="33" t="n"/>
      <c r="N992" s="34">
        <f>IF($A992="",NA(),IF(C992&gt;0,D992/C992,0))</f>
        <v/>
      </c>
      <c r="O992" s="34">
        <f>IF($A992="",NA(),IF(E992&gt;0,F992/E992,0))</f>
        <v/>
      </c>
      <c r="P992" s="34">
        <f>IF($A992="",NA(),IF(K992+L992&gt;0,K992/(K992+L992),0.5))</f>
        <v/>
      </c>
      <c r="Q992" s="34">
        <f>IF($A992="",NA(),1-P992)</f>
        <v/>
      </c>
      <c r="R992" s="33">
        <f>IF($A992="",NA(),MAX(0,E992-F992)*IF(G992&gt;0,H992/G992,COMPAREC_PAD)*IF(I992&gt;0,J992/I992,VALIDOS_PAD))</f>
        <v/>
      </c>
      <c r="S992" s="34">
        <f>IF($A992="",NA(),IF(R992&gt;0,0.5-(K992-L992)/(2*R992),0))</f>
        <v/>
      </c>
      <c r="T992" s="34">
        <f>IF($A992="",NA(),IF(R992&lt;=0,IF(K992&gt;L992,1,IF(K992&lt;L992,0,0.5)),1-NORMDIST(S992,P992+AJUSTE,SIGMA,TRUE)))</f>
        <v/>
      </c>
      <c r="U992" s="34">
        <f>IF($A992="",NA(),1-T992)</f>
        <v/>
      </c>
    </row>
    <row r="993">
      <c r="C993" s="33" t="n"/>
      <c r="D993" s="33" t="n"/>
      <c r="E993" s="33" t="n"/>
      <c r="F993" s="33" t="n"/>
      <c r="G993" s="33" t="n"/>
      <c r="H993" s="33" t="n"/>
      <c r="I993" s="33" t="n"/>
      <c r="J993" s="33" t="n"/>
      <c r="K993" s="33" t="n"/>
      <c r="L993" s="33" t="n"/>
      <c r="N993" s="34">
        <f>IF($A993="",NA(),IF(C993&gt;0,D993/C993,0))</f>
        <v/>
      </c>
      <c r="O993" s="34">
        <f>IF($A993="",NA(),IF(E993&gt;0,F993/E993,0))</f>
        <v/>
      </c>
      <c r="P993" s="34">
        <f>IF($A993="",NA(),IF(K993+L993&gt;0,K993/(K993+L993),0.5))</f>
        <v/>
      </c>
      <c r="Q993" s="34">
        <f>IF($A993="",NA(),1-P993)</f>
        <v/>
      </c>
      <c r="R993" s="33">
        <f>IF($A993="",NA(),MAX(0,E993-F993)*IF(G993&gt;0,H993/G993,COMPAREC_PAD)*IF(I993&gt;0,J993/I993,VALIDOS_PAD))</f>
        <v/>
      </c>
      <c r="S993" s="34">
        <f>IF($A993="",NA(),IF(R993&gt;0,0.5-(K993-L993)/(2*R993),0))</f>
        <v/>
      </c>
      <c r="T993" s="34">
        <f>IF($A993="",NA(),IF(R993&lt;=0,IF(K993&gt;L993,1,IF(K993&lt;L993,0,0.5)),1-NORMDIST(S993,P993+AJUSTE,SIGMA,TRUE)))</f>
        <v/>
      </c>
      <c r="U993" s="34">
        <f>IF($A993="",NA(),1-T993)</f>
        <v/>
      </c>
    </row>
    <row r="994">
      <c r="C994" s="33" t="n"/>
      <c r="D994" s="33" t="n"/>
      <c r="E994" s="33" t="n"/>
      <c r="F994" s="33" t="n"/>
      <c r="G994" s="33" t="n"/>
      <c r="H994" s="33" t="n"/>
      <c r="I994" s="33" t="n"/>
      <c r="J994" s="33" t="n"/>
      <c r="K994" s="33" t="n"/>
      <c r="L994" s="33" t="n"/>
      <c r="N994" s="34">
        <f>IF($A994="",NA(),IF(C994&gt;0,D994/C994,0))</f>
        <v/>
      </c>
      <c r="O994" s="34">
        <f>IF($A994="",NA(),IF(E994&gt;0,F994/E994,0))</f>
        <v/>
      </c>
      <c r="P994" s="34">
        <f>IF($A994="",NA(),IF(K994+L994&gt;0,K994/(K994+L994),0.5))</f>
        <v/>
      </c>
      <c r="Q994" s="34">
        <f>IF($A994="",NA(),1-P994)</f>
        <v/>
      </c>
      <c r="R994" s="33">
        <f>IF($A994="",NA(),MAX(0,E994-F994)*IF(G994&gt;0,H994/G994,COMPAREC_PAD)*IF(I994&gt;0,J994/I994,VALIDOS_PAD))</f>
        <v/>
      </c>
      <c r="S994" s="34">
        <f>IF($A994="",NA(),IF(R994&gt;0,0.5-(K994-L994)/(2*R994),0))</f>
        <v/>
      </c>
      <c r="T994" s="34">
        <f>IF($A994="",NA(),IF(R994&lt;=0,IF(K994&gt;L994,1,IF(K994&lt;L994,0,0.5)),1-NORMDIST(S994,P994+AJUSTE,SIGMA,TRUE)))</f>
        <v/>
      </c>
      <c r="U994" s="34">
        <f>IF($A994="",NA(),1-T994)</f>
        <v/>
      </c>
    </row>
    <row r="995">
      <c r="C995" s="33" t="n"/>
      <c r="D995" s="33" t="n"/>
      <c r="E995" s="33" t="n"/>
      <c r="F995" s="33" t="n"/>
      <c r="G995" s="33" t="n"/>
      <c r="H995" s="33" t="n"/>
      <c r="I995" s="33" t="n"/>
      <c r="J995" s="33" t="n"/>
      <c r="K995" s="33" t="n"/>
      <c r="L995" s="33" t="n"/>
      <c r="N995" s="34">
        <f>IF($A995="",NA(),IF(C995&gt;0,D995/C995,0))</f>
        <v/>
      </c>
      <c r="O995" s="34">
        <f>IF($A995="",NA(),IF(E995&gt;0,F995/E995,0))</f>
        <v/>
      </c>
      <c r="P995" s="34">
        <f>IF($A995="",NA(),IF(K995+L995&gt;0,K995/(K995+L995),0.5))</f>
        <v/>
      </c>
      <c r="Q995" s="34">
        <f>IF($A995="",NA(),1-P995)</f>
        <v/>
      </c>
      <c r="R995" s="33">
        <f>IF($A995="",NA(),MAX(0,E995-F995)*IF(G995&gt;0,H995/G995,COMPAREC_PAD)*IF(I995&gt;0,J995/I995,VALIDOS_PAD))</f>
        <v/>
      </c>
      <c r="S995" s="34">
        <f>IF($A995="",NA(),IF(R995&gt;0,0.5-(K995-L995)/(2*R995),0))</f>
        <v/>
      </c>
      <c r="T995" s="34">
        <f>IF($A995="",NA(),IF(R995&lt;=0,IF(K995&gt;L995,1,IF(K995&lt;L995,0,0.5)),1-NORMDIST(S995,P995+AJUSTE,SIGMA,TRUE)))</f>
        <v/>
      </c>
      <c r="U995" s="34">
        <f>IF($A995="",NA(),1-T995)</f>
        <v/>
      </c>
    </row>
    <row r="996">
      <c r="C996" s="33" t="n"/>
      <c r="D996" s="33" t="n"/>
      <c r="E996" s="33" t="n"/>
      <c r="F996" s="33" t="n"/>
      <c r="G996" s="33" t="n"/>
      <c r="H996" s="33" t="n"/>
      <c r="I996" s="33" t="n"/>
      <c r="J996" s="33" t="n"/>
      <c r="K996" s="33" t="n"/>
      <c r="L996" s="33" t="n"/>
      <c r="N996" s="34">
        <f>IF($A996="",NA(),IF(C996&gt;0,D996/C996,0))</f>
        <v/>
      </c>
      <c r="O996" s="34">
        <f>IF($A996="",NA(),IF(E996&gt;0,F996/E996,0))</f>
        <v/>
      </c>
      <c r="P996" s="34">
        <f>IF($A996="",NA(),IF(K996+L996&gt;0,K996/(K996+L996),0.5))</f>
        <v/>
      </c>
      <c r="Q996" s="34">
        <f>IF($A996="",NA(),1-P996)</f>
        <v/>
      </c>
      <c r="R996" s="33">
        <f>IF($A996="",NA(),MAX(0,E996-F996)*IF(G996&gt;0,H996/G996,COMPAREC_PAD)*IF(I996&gt;0,J996/I996,VALIDOS_PAD))</f>
        <v/>
      </c>
      <c r="S996" s="34">
        <f>IF($A996="",NA(),IF(R996&gt;0,0.5-(K996-L996)/(2*R996),0))</f>
        <v/>
      </c>
      <c r="T996" s="34">
        <f>IF($A996="",NA(),IF(R996&lt;=0,IF(K996&gt;L996,1,IF(K996&lt;L996,0,0.5)),1-NORMDIST(S996,P996+AJUSTE,SIGMA,TRUE)))</f>
        <v/>
      </c>
      <c r="U996" s="34">
        <f>IF($A996="",NA(),1-T996)</f>
        <v/>
      </c>
    </row>
    <row r="997">
      <c r="C997" s="33" t="n"/>
      <c r="D997" s="33" t="n"/>
      <c r="E997" s="33" t="n"/>
      <c r="F997" s="33" t="n"/>
      <c r="G997" s="33" t="n"/>
      <c r="H997" s="33" t="n"/>
      <c r="I997" s="33" t="n"/>
      <c r="J997" s="33" t="n"/>
      <c r="K997" s="33" t="n"/>
      <c r="L997" s="33" t="n"/>
      <c r="N997" s="34">
        <f>IF($A997="",NA(),IF(C997&gt;0,D997/C997,0))</f>
        <v/>
      </c>
      <c r="O997" s="34">
        <f>IF($A997="",NA(),IF(E997&gt;0,F997/E997,0))</f>
        <v/>
      </c>
      <c r="P997" s="34">
        <f>IF($A997="",NA(),IF(K997+L997&gt;0,K997/(K997+L997),0.5))</f>
        <v/>
      </c>
      <c r="Q997" s="34">
        <f>IF($A997="",NA(),1-P997)</f>
        <v/>
      </c>
      <c r="R997" s="33">
        <f>IF($A997="",NA(),MAX(0,E997-F997)*IF(G997&gt;0,H997/G997,COMPAREC_PAD)*IF(I997&gt;0,J997/I997,VALIDOS_PAD))</f>
        <v/>
      </c>
      <c r="S997" s="34">
        <f>IF($A997="",NA(),IF(R997&gt;0,0.5-(K997-L997)/(2*R997),0))</f>
        <v/>
      </c>
      <c r="T997" s="34">
        <f>IF($A997="",NA(),IF(R997&lt;=0,IF(K997&gt;L997,1,IF(K997&lt;L997,0,0.5)),1-NORMDIST(S997,P997+AJUSTE,SIGMA,TRUE)))</f>
        <v/>
      </c>
      <c r="U997" s="34">
        <f>IF($A997="",NA(),1-T997)</f>
        <v/>
      </c>
    </row>
    <row r="998">
      <c r="C998" s="33" t="n"/>
      <c r="D998" s="33" t="n"/>
      <c r="E998" s="33" t="n"/>
      <c r="F998" s="33" t="n"/>
      <c r="G998" s="33" t="n"/>
      <c r="H998" s="33" t="n"/>
      <c r="I998" s="33" t="n"/>
      <c r="J998" s="33" t="n"/>
      <c r="K998" s="33" t="n"/>
      <c r="L998" s="33" t="n"/>
      <c r="N998" s="34">
        <f>IF($A998="",NA(),IF(C998&gt;0,D998/C998,0))</f>
        <v/>
      </c>
      <c r="O998" s="34">
        <f>IF($A998="",NA(),IF(E998&gt;0,F998/E998,0))</f>
        <v/>
      </c>
      <c r="P998" s="34">
        <f>IF($A998="",NA(),IF(K998+L998&gt;0,K998/(K998+L998),0.5))</f>
        <v/>
      </c>
      <c r="Q998" s="34">
        <f>IF($A998="",NA(),1-P998)</f>
        <v/>
      </c>
      <c r="R998" s="33">
        <f>IF($A998="",NA(),MAX(0,E998-F998)*IF(G998&gt;0,H998/G998,COMPAREC_PAD)*IF(I998&gt;0,J998/I998,VALIDOS_PAD))</f>
        <v/>
      </c>
      <c r="S998" s="34">
        <f>IF($A998="",NA(),IF(R998&gt;0,0.5-(K998-L998)/(2*R998),0))</f>
        <v/>
      </c>
      <c r="T998" s="34">
        <f>IF($A998="",NA(),IF(R998&lt;=0,IF(K998&gt;L998,1,IF(K998&lt;L998,0,0.5)),1-NORMDIST(S998,P998+AJUSTE,SIGMA,TRUE)))</f>
        <v/>
      </c>
      <c r="U998" s="34">
        <f>IF($A998="",NA(),1-T998)</f>
        <v/>
      </c>
    </row>
    <row r="999">
      <c r="C999" s="33" t="n"/>
      <c r="D999" s="33" t="n"/>
      <c r="E999" s="33" t="n"/>
      <c r="F999" s="33" t="n"/>
      <c r="G999" s="33" t="n"/>
      <c r="H999" s="33" t="n"/>
      <c r="I999" s="33" t="n"/>
      <c r="J999" s="33" t="n"/>
      <c r="K999" s="33" t="n"/>
      <c r="L999" s="33" t="n"/>
      <c r="N999" s="34">
        <f>IF($A999="",NA(),IF(C999&gt;0,D999/C999,0))</f>
        <v/>
      </c>
      <c r="O999" s="34">
        <f>IF($A999="",NA(),IF(E999&gt;0,F999/E999,0))</f>
        <v/>
      </c>
      <c r="P999" s="34">
        <f>IF($A999="",NA(),IF(K999+L999&gt;0,K999/(K999+L999),0.5))</f>
        <v/>
      </c>
      <c r="Q999" s="34">
        <f>IF($A999="",NA(),1-P999)</f>
        <v/>
      </c>
      <c r="R999" s="33">
        <f>IF($A999="",NA(),MAX(0,E999-F999)*IF(G999&gt;0,H999/G999,COMPAREC_PAD)*IF(I999&gt;0,J999/I999,VALIDOS_PAD))</f>
        <v/>
      </c>
      <c r="S999" s="34">
        <f>IF($A999="",NA(),IF(R999&gt;0,0.5-(K999-L999)/(2*R999),0))</f>
        <v/>
      </c>
      <c r="T999" s="34">
        <f>IF($A999="",NA(),IF(R999&lt;=0,IF(K999&gt;L999,1,IF(K999&lt;L999,0,0.5)),1-NORMDIST(S999,P999+AJUSTE,SIGMA,TRUE)))</f>
        <v/>
      </c>
      <c r="U999" s="34">
        <f>IF($A999="",NA(),1-T999)</f>
        <v/>
      </c>
    </row>
    <row r="1000">
      <c r="C1000" s="33" t="n"/>
      <c r="D1000" s="33" t="n"/>
      <c r="E1000" s="33" t="n"/>
      <c r="F1000" s="33" t="n"/>
      <c r="G1000" s="33" t="n"/>
      <c r="H1000" s="33" t="n"/>
      <c r="I1000" s="33" t="n"/>
      <c r="J1000" s="33" t="n"/>
      <c r="K1000" s="33" t="n"/>
      <c r="L1000" s="33" t="n"/>
      <c r="N1000" s="34">
        <f>IF($A1000="",NA(),IF(C1000&gt;0,D1000/C1000,0))</f>
        <v/>
      </c>
      <c r="O1000" s="34">
        <f>IF($A1000="",NA(),IF(E1000&gt;0,F1000/E1000,0))</f>
        <v/>
      </c>
      <c r="P1000" s="34">
        <f>IF($A1000="",NA(),IF(K1000+L1000&gt;0,K1000/(K1000+L1000),0.5))</f>
        <v/>
      </c>
      <c r="Q1000" s="34">
        <f>IF($A1000="",NA(),1-P1000)</f>
        <v/>
      </c>
      <c r="R1000" s="33">
        <f>IF($A1000="",NA(),MAX(0,E1000-F1000)*IF(G1000&gt;0,H1000/G1000,COMPAREC_PAD)*IF(I1000&gt;0,J1000/I1000,VALIDOS_PAD))</f>
        <v/>
      </c>
      <c r="S1000" s="34">
        <f>IF($A1000="",NA(),IF(R1000&gt;0,0.5-(K1000-L1000)/(2*R1000),0))</f>
        <v/>
      </c>
      <c r="T1000" s="34">
        <f>IF($A1000="",NA(),IF(R1000&lt;=0,IF(K1000&gt;L1000,1,IF(K1000&lt;L1000,0,0.5)),1-NORMDIST(S1000,P1000+AJUSTE,SIGMA,TRUE)))</f>
        <v/>
      </c>
      <c r="U1000" s="34">
        <f>IF($A1000="",NA(),1-T1000)</f>
        <v/>
      </c>
    </row>
    <row r="1001">
      <c r="C1001" s="33" t="n"/>
      <c r="D1001" s="33" t="n"/>
      <c r="E1001" s="33" t="n"/>
      <c r="F1001" s="33" t="n"/>
      <c r="G1001" s="33" t="n"/>
      <c r="H1001" s="33" t="n"/>
      <c r="I1001" s="33" t="n"/>
      <c r="J1001" s="33" t="n"/>
      <c r="K1001" s="33" t="n"/>
      <c r="L1001" s="33" t="n"/>
      <c r="N1001" s="34">
        <f>IF($A1001="",NA(),IF(C1001&gt;0,D1001/C1001,0))</f>
        <v/>
      </c>
      <c r="O1001" s="34">
        <f>IF($A1001="",NA(),IF(E1001&gt;0,F1001/E1001,0))</f>
        <v/>
      </c>
      <c r="P1001" s="34">
        <f>IF($A1001="",NA(),IF(K1001+L1001&gt;0,K1001/(K1001+L1001),0.5))</f>
        <v/>
      </c>
      <c r="Q1001" s="34">
        <f>IF($A1001="",NA(),1-P1001)</f>
        <v/>
      </c>
      <c r="R1001" s="33">
        <f>IF($A1001="",NA(),MAX(0,E1001-F1001)*IF(G1001&gt;0,H1001/G1001,COMPAREC_PAD)*IF(I1001&gt;0,J1001/I1001,VALIDOS_PAD))</f>
        <v/>
      </c>
      <c r="S1001" s="34">
        <f>IF($A1001="",NA(),IF(R1001&gt;0,0.5-(K1001-L1001)/(2*R1001),0))</f>
        <v/>
      </c>
      <c r="T1001" s="34">
        <f>IF($A1001="",NA(),IF(R1001&lt;=0,IF(K1001&gt;L1001,1,IF(K1001&lt;L1001,0,0.5)),1-NORMDIST(S1001,P1001+AJUSTE,SIGMA,TRUE)))</f>
        <v/>
      </c>
      <c r="U1001" s="34">
        <f>IF($A1001="",NA(),1-T1001)</f>
        <v/>
      </c>
    </row>
  </sheetData>
  <conditionalFormatting sqref="N2:U1001">
    <cfRule type="expression" priority="1" dxfId="1">
      <formula>ISNA(N2)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32" customHeight="1">
      <c r="A1" s="1" t="inlineStr">
        <is>
          <t>Regras do arquivo EA20 (resultado unificado) usadas na planilha</t>
        </is>
      </c>
    </row>
    <row r="3">
      <c r="A3" s="7" t="inlineStr">
        <is>
          <t>Campo</t>
        </is>
      </c>
      <c r="B3" s="7" t="inlineStr">
        <is>
          <t>Regra / uso</t>
        </is>
      </c>
    </row>
    <row r="4" ht="32" customHeight="1">
      <c r="A4" s="35" t="inlineStr">
        <is>
          <t>Arquivo</t>
        </is>
      </c>
      <c r="B4" s="25" t="inlineStr">
        <is>
          <t>EA20 — resultado unificado: parte fixa (candidatos, partidos, seções, eleitorado) + parte variável (votos), atualizada a cada totalização.</t>
        </is>
      </c>
    </row>
    <row r="5" ht="32" customHeight="1">
      <c r="A5" s="35" t="inlineStr">
        <is>
          <t>Nome</t>
        </is>
      </c>
      <c r="B5" s="25" t="inlineStr">
        <is>
          <t>br-c&lt;cargo&gt;-e&lt;eleição&gt;-u.json (nacional) · &lt;uf&gt;-c&lt;cargo&gt;-e&lt;eleição&gt;-u.json (estadual) · &lt;uf&gt;&lt;município 5 díg.&gt;-c…-u.json (municipal) · &lt;uf&gt;&lt;mun&gt;-z&lt;zona 4 díg.&gt;-c…-u.json (zona).</t>
        </is>
      </c>
    </row>
    <row r="6" ht="32" customHeight="1">
      <c r="A6" s="35" t="inlineStr">
        <is>
          <t>Cargos</t>
        </is>
      </c>
      <c r="B6" s="25" t="inlineStr">
        <is>
          <t>0001 Presidente (BR) · 0003 Governador (UF) · 0005 Senador · 0006 Dep. Federal · 0007 Dep. Estadual · 0008 Dep. Distrital · 0011 Prefeito · 0013 Vereador. 2º turno: apenas Presidente e Governador.</t>
        </is>
      </c>
    </row>
    <row r="7" ht="32" customHeight="1">
      <c r="A7" s="35" t="inlineStr">
        <is>
          <t>t</t>
        </is>
      </c>
      <c r="B7" s="25" t="inlineStr">
        <is>
          <t>Turno: 1 = primeiro, 2 = segundo.</t>
        </is>
      </c>
    </row>
    <row r="8" ht="32" customHeight="1">
      <c r="A8" s="35" t="inlineStr">
        <is>
          <t>f</t>
        </is>
      </c>
      <c r="B8" s="25" t="inlineStr">
        <is>
          <t>Fase: s = simulado, o = oficial. Confira se está 'o' no dia da eleição.</t>
        </is>
      </c>
    </row>
    <row r="9" ht="32" customHeight="1">
      <c r="A9" s="35" t="inlineStr">
        <is>
          <t>dt / ht</t>
        </is>
      </c>
      <c r="B9" s="25" t="inlineStr">
        <is>
          <t>Data e hora da totalização — a planilha grava um ponto no histórico a cada mudança.</t>
        </is>
      </c>
    </row>
    <row r="10" ht="32" customHeight="1">
      <c r="A10" s="35" t="inlineStr">
        <is>
          <t>and</t>
        </is>
      </c>
      <c r="B10" s="25" t="inlineStr">
        <is>
          <t>Andamento: n = não iniciada, p = em andamento, f = finalizada. 'Finalizada' ≠ 'totalização final' (tf).</t>
        </is>
      </c>
    </row>
    <row r="11" ht="32" customHeight="1">
      <c r="A11" s="35" t="inlineStr">
        <is>
          <t>tf</t>
        </is>
      </c>
      <c r="B11" s="25" t="inlineStr">
        <is>
          <t>Totalização final: s/n. É quando o juiz eleitoral finaliza a eleição.</t>
        </is>
      </c>
    </row>
    <row r="12" ht="32" customHeight="1">
      <c r="A12" s="35" t="inlineStr">
        <is>
          <t>md</t>
        </is>
      </c>
      <c r="B12" s="25" t="inlineStr">
        <is>
          <t>Matematicamente definido (só Presidente/Governador/Prefeito, enquanto tf = n): e = eleito, s = segundo turno, n = não definido. Quando 'e', a planilha fixa 100%/0%.</t>
        </is>
      </c>
    </row>
    <row r="13" ht="32" customHeight="1">
      <c r="A13" s="35" t="inlineStr">
        <is>
          <t>dv</t>
        </is>
      </c>
      <c r="B13" s="25" t="inlineStr">
        <is>
          <t>Divulga votação: se 'n', os votos vêm zerados (regra de divulgação do TSE — a divulgação começa às 17h de Brasília).</t>
        </is>
      </c>
    </row>
    <row r="14" ht="32" customHeight="1">
      <c r="A14" s="35" t="inlineStr">
        <is>
          <t>cand.e / st</t>
        </is>
      </c>
      <c r="B14" s="25" t="inlineStr">
        <is>
          <t>e = s se eleito (ou foi ao 2º turno). st (Eleito, Não eleito, 2º turno…) só é preenchido após a totalização final.</t>
        </is>
      </c>
    </row>
    <row r="15" ht="32" customHeight="1">
      <c r="A15" s="35" t="inlineStr">
        <is>
          <t>vap / pvap</t>
        </is>
      </c>
      <c r="B15" s="25" t="inlineStr">
        <is>
          <t>Votos computados do candidato e % sobre os votos a votáveis concorrentes. A planilha recalcula % sobre a soma dos dois candidatos (= válidos no 2º turno).</t>
        </is>
      </c>
    </row>
    <row r="16" ht="32" customHeight="1">
      <c r="A16" s="35" t="inlineStr">
        <is>
          <t>Seções (s)</t>
        </is>
      </c>
      <c r="B16" s="25" t="inlineStr">
        <is>
          <t>ts = st (totalizadas) + snt (não totalizadas); st = si (instaladas) + sni; si = sa (apuradas) + sna.</t>
        </is>
      </c>
    </row>
    <row r="17" ht="32" customHeight="1">
      <c r="A17" s="35" t="inlineStr">
        <is>
          <t>Eleitores (e)</t>
        </is>
      </c>
      <c r="B17" s="25" t="inlineStr">
        <is>
          <t>te = est + esnt; est = esi + esni; esi = c (comparecimento) + a (abstenção) = esa + esna.</t>
        </is>
      </c>
    </row>
    <row r="18" ht="32" customHeight="1">
      <c r="A18" s="35" t="inlineStr">
        <is>
          <t>Votos (v)</t>
        </is>
      </c>
      <c r="B18" s="25" t="inlineStr">
        <is>
          <t>tv = vb + vn + vnt + van + vansj + vv; tvn = vn + vnt (nulos + nulos técnicos); vv = vnom + vl.</t>
        </is>
      </c>
    </row>
    <row r="19" ht="32" customHeight="1">
      <c r="A19" s="35" t="inlineStr">
        <is>
          <t>Percentuais</t>
        </is>
      </c>
      <c r="B19" s="25" t="inlineStr">
        <is>
          <t>Cada % vem em 2 campos: 2 casas (texto '12,34') e 9 casas (pstn, pvapn…). Arredondamento: ≥5 sobe, &lt;5 mantém. A planilha calcula % pelas quantidades.</t>
        </is>
      </c>
    </row>
    <row r="20" ht="32" customHeight="1">
      <c r="A20" s="35" t="inlineStr">
        <is>
          <t>Ordem</t>
        </is>
      </c>
      <c r="B20" s="25" t="inlineStr">
        <is>
          <t>seq = ordem do candidato (muda conforme votos). A planilha ordena pelo número de urna, para o cand. 1 e o cand. 2 não trocarem de lugar no histórico.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32" customHeight="1">
      <c r="A1" s="1" t="inlineStr">
        <is>
          <t>Como conectar ao TSE e acompanhar ao vivo</t>
        </is>
      </c>
    </row>
    <row r="3">
      <c r="A3" s="28" t="inlineStr">
        <is>
          <t>1. Antes de tudo</t>
        </is>
      </c>
    </row>
    <row r="4" ht="54" customHeight="1">
      <c r="A4" t="inlineStr">
        <is>
          <t>•</t>
        </is>
      </c>
      <c r="B4" s="25" t="inlineStr">
        <is>
          <t>Em Config, confira a URL (B12). O padrão aponta para o 2º turno 2026 (eleição 6258, Presidente). Para governador, troque Abrangência para a UF (ex.: sp) e Cargo para 3. Se o TSE usar outro caminho, cole a URL exata em Config!B8 (veja o link do JSON na aba Documentos de resultados.tse.jus.br).</t>
        </is>
      </c>
    </row>
    <row r="5" ht="18" customHeight="1">
      <c r="A5" t="inlineStr">
        <is>
          <t>•</t>
        </is>
      </c>
      <c r="B5" s="25" t="inlineStr">
        <is>
          <t>Apague os dados de demonstração: Dados!A2:B40 e Dados!E2:K20 (só os valores) e Histórico!A2:L1001.</t>
        </is>
      </c>
    </row>
    <row r="6">
      <c r="A6" s="28" t="inlineStr">
        <is>
          <t>2A. Excel (Microsoft 365 / 2016+) — Power Query</t>
        </is>
      </c>
    </row>
    <row r="7" ht="36" customHeight="1">
      <c r="A7" t="inlineStr">
        <is>
          <t>•</t>
        </is>
      </c>
      <c r="B7" s="25" t="inlineStr">
        <is>
          <t>Arquivo &gt; Opções &gt; Central de Confiabilidade/Privacidade &gt; Power Query: marque 'Ignorar os níveis de privacidade' (necessário porque a consulta usa a URL da célula Config!B12).</t>
        </is>
      </c>
    </row>
    <row r="8" ht="18" customHeight="1">
      <c r="A8" t="inlineStr">
        <is>
          <t>•</t>
        </is>
      </c>
      <c r="B8" s="25" t="inlineStr">
        <is>
          <t>Apague também os CABEÇALHOS: Dados!A1:B1, Dados!E1:K1 e Histórico!A1:L1 (as consultas recriam).</t>
        </is>
      </c>
    </row>
    <row r="9" ht="36" customHeight="1">
      <c r="A9" t="inlineStr">
        <is>
          <t>•</t>
        </is>
      </c>
      <c r="B9" s="25" t="inlineStr">
        <is>
          <t>Dados &gt; Obter Dados &gt; De Outras Fontes &gt; Consulta Nula. Página Inicial &gt; Editor Avançado. Cole o bloco 'TSE' do arquivo powerquery_tse.m e renomeie a consulta para TSE.</t>
        </is>
      </c>
    </row>
    <row r="10" ht="18" customHeight="1">
      <c r="A10" t="inlineStr">
        <is>
          <t>•</t>
        </is>
      </c>
      <c r="B10" s="25" t="inlineStr">
        <is>
          <t>Repita para Resumo, Candidatos e tbHistorico (os nomes precisam ser exatamente esses).</t>
        </is>
      </c>
    </row>
    <row r="11" ht="36" customHeight="1">
      <c r="A11" t="inlineStr">
        <is>
          <t>•</t>
        </is>
      </c>
      <c r="B11" s="25" t="inlineStr">
        <is>
          <t>Fechar e Carregar Para…: TSE = Somente Conexão; Resumo = Tabela em Dados!A1; Candidatos = Tabela em Dados!E1; tbHistorico = Tabela em Histórico!A1.</t>
        </is>
      </c>
    </row>
    <row r="12" ht="36" customHeight="1">
      <c r="A12" t="inlineStr">
        <is>
          <t>•</t>
        </is>
      </c>
      <c r="B12" s="25" t="inlineStr">
        <is>
          <t>Dados &gt; Consultas e Conexões &gt; botão direito em cada consulta &gt; Propriedades: marque 'Atualizar a cada 1 minuto' e 'Atualizar dados ao abrir o arquivo'. Pronto: o Painel e os gráficos atualizam sozinhos.</t>
        </is>
      </c>
    </row>
    <row r="13" ht="18" customHeight="1">
      <c r="A13" t="inlineStr">
        <is>
          <t>•</t>
        </is>
      </c>
      <c r="B13" s="25" t="inlineStr">
        <is>
          <t>Salve como .xlsx normal. Mantenha o arquivo aberto durante a apuração.</t>
        </is>
      </c>
    </row>
    <row r="14">
      <c r="A14" s="28" t="inlineStr">
        <is>
          <t>2B. Google Planilhas — Apps Script</t>
        </is>
      </c>
    </row>
    <row r="15" ht="18" customHeight="1">
      <c r="A15" t="inlineStr">
        <is>
          <t>•</t>
        </is>
      </c>
      <c r="B15" s="25" t="inlineStr">
        <is>
          <t>Envie este .xlsx ao Google Drive e abra com Planilhas Google (Arquivo &gt; Salvar como Planilha Google).</t>
        </is>
      </c>
    </row>
    <row r="16" ht="18" customHeight="1">
      <c r="A16" t="inlineStr">
        <is>
          <t>•</t>
        </is>
      </c>
      <c r="B16" s="25" t="inlineStr">
        <is>
          <t>Extensões &gt; Apps Script. Cole o conteúdo de tse_apps_script.gs, salve, recarregue a planilha.</t>
        </is>
      </c>
    </row>
    <row r="17" ht="18" customHeight="1">
      <c r="A17" t="inlineStr">
        <is>
          <t>•</t>
        </is>
      </c>
      <c r="B17" s="25" t="inlineStr">
        <is>
          <t>Menu 'TSE ao vivo' &gt; 'Atualizar agora' (autorize na 1ª vez) &gt; 'Iniciar ao vivo (1 min)'.</t>
        </is>
      </c>
    </row>
    <row r="18" ht="18" customHeight="1">
      <c r="A18" t="inlineStr">
        <is>
          <t>•</t>
        </is>
      </c>
      <c r="B18" s="25" t="inlineStr">
        <is>
          <t>Para parar: 'Parar ao vivo'. O histórico cresce uma linha a cada nova totalização do TSE.</t>
        </is>
      </c>
    </row>
    <row r="19">
      <c r="A19" s="28" t="inlineStr">
        <is>
          <t>3. Lendo o painel</t>
        </is>
      </c>
    </row>
    <row r="20" ht="36" customHeight="1">
      <c r="A20" t="inlineStr">
        <is>
          <t>•</t>
        </is>
      </c>
      <c r="B20" s="25" t="inlineStr">
        <is>
          <t>Prob. vitória: chance estimada de terminar à frente considerando os votos que faltam. Ajuste a incerteza em Config!B16 (maior = mais cautela com viradas).</t>
        </is>
      </c>
    </row>
    <row r="21" ht="36" customHeight="1">
      <c r="A21" t="inlineStr">
        <is>
          <t>•</t>
        </is>
      </c>
      <c r="B21" s="25" t="inlineStr">
        <is>
          <t>'2º colocado precisa dos restantes': % dos votos válidos ainda não apurados que o candidato atrás precisa obter para virar. Acima de 100% = virada impossível.</t>
        </is>
      </c>
    </row>
    <row r="22" ht="18" customHeight="1">
      <c r="A22" t="inlineStr">
        <is>
          <t>•</t>
        </is>
      </c>
      <c r="B22" s="25" t="inlineStr">
        <is>
          <t>Quando o TSE marcar md = 'e' (matematicamente definido) ou tf = 's', a planilha fixa 100%/0%.</t>
        </is>
      </c>
    </row>
    <row r="23" ht="36" customHeight="1">
      <c r="A23" t="inlineStr">
        <is>
          <t>•</t>
        </is>
      </c>
      <c r="B23" s="25" t="inlineStr">
        <is>
          <t>Teste antes do dia 25/10 usando o ambiente simulado do TSE (endereço em Config!C3) colando a URL completa do simulado em Config!B8.</t>
        </is>
      </c>
    </row>
    <row r="25">
      <c r="A25" s="28" t="inlineStr">
        <is>
          <t>Código Power Query (mesmo conteúdo de powerquery_tse.m)</t>
        </is>
      </c>
    </row>
    <row r="26">
      <c r="B26" s="36" t="inlineStr">
        <is>
          <t>// =====================================================================</t>
        </is>
      </c>
    </row>
    <row r="27">
      <c r="B27" s="36" t="inlineStr">
        <is>
          <t>// Conector ao vivo TSE -&gt; Excel (Power Query) — arquivo EA20 "-u.json"</t>
        </is>
      </c>
    </row>
    <row r="28">
      <c r="B28" s="36" t="inlineStr">
        <is>
          <t>// Crie 4 consultas em Dados &gt; Obter Dados &gt; Outras Fontes &gt; Consulta Nula,</t>
        </is>
      </c>
    </row>
    <row r="29">
      <c r="B29" s="36" t="inlineStr">
        <is>
          <t>// abra o Editor Avançado e cole cada bloco abaixo, com o NOME indicado.</t>
        </is>
      </c>
    </row>
    <row r="30">
      <c r="B30" s="36" t="inlineStr">
        <is>
          <t>// Veja o passo a passo completo na aba "Como usar" da planilha.</t>
        </is>
      </c>
    </row>
    <row r="31">
      <c r="B31" s="36" t="inlineStr">
        <is>
          <t>// =====================================================================</t>
        </is>
      </c>
    </row>
    <row r="32">
      <c r="B32" s="36" t="inlineStr"/>
    </row>
    <row r="33">
      <c r="B33" s="36" t="inlineStr"/>
    </row>
    <row r="34">
      <c r="B34" s="36" t="inlineStr">
        <is>
          <t>// ---------------------------------------------------------------------</t>
        </is>
      </c>
    </row>
    <row r="35">
      <c r="B35" s="36" t="inlineStr">
        <is>
          <t>// Consulta 1 — nome: TSE   (Carregar como: Somente Conexão)</t>
        </is>
      </c>
    </row>
    <row r="36">
      <c r="B36" s="36" t="inlineStr">
        <is>
          <t>// Baixa o JSON da URL montada em Config!B12 (nome definido URL_TSE).</t>
        </is>
      </c>
    </row>
    <row r="37">
      <c r="B37" s="36" t="inlineStr">
        <is>
          <t>// ---------------------------------------------------------------------</t>
        </is>
      </c>
    </row>
    <row r="38">
      <c r="B38" s="36" t="inlineStr">
        <is>
          <t>let</t>
        </is>
      </c>
    </row>
    <row r="39">
      <c r="B39" s="36" t="inlineStr">
        <is>
          <t xml:space="preserve">    Url = Excel.CurrentWorkbook(){[Name = "URL_TSE"]}[Content]{0}[Column1],</t>
        </is>
      </c>
    </row>
    <row r="40">
      <c r="B40" s="36" t="inlineStr">
        <is>
          <t xml:space="preserve">    // parâmetro "t" evita que algum cache intermediário devolva arquivo antigo</t>
        </is>
      </c>
    </row>
    <row r="41">
      <c r="B41" s="36" t="inlineStr">
        <is>
          <t xml:space="preserve">    Fonte = Json.Document(</t>
        </is>
      </c>
    </row>
    <row r="42">
      <c r="B42" s="36" t="inlineStr">
        <is>
          <t xml:space="preserve">        Web.Contents(Url, [Query = [t = Text.From(Number.Round(Number.From(DateTime.LocalNow()) * 86400))],</t>
        </is>
      </c>
    </row>
    <row r="43">
      <c r="B43" s="36" t="inlineStr">
        <is>
          <t xml:space="preserve">                          Headers = [#"Cache-Control" = "no-cache"]]),</t>
        </is>
      </c>
    </row>
    <row r="44">
      <c r="B44" s="36" t="inlineStr">
        <is>
          <t xml:space="preserve">        65001)</t>
        </is>
      </c>
    </row>
    <row r="45">
      <c r="B45" s="36" t="inlineStr">
        <is>
          <t>in</t>
        </is>
      </c>
    </row>
    <row r="46">
      <c r="B46" s="36" t="inlineStr">
        <is>
          <t xml:space="preserve">    Fonte</t>
        </is>
      </c>
    </row>
    <row r="47">
      <c r="B47" s="36" t="inlineStr"/>
    </row>
    <row r="48">
      <c r="B48" s="36" t="inlineStr"/>
    </row>
    <row r="49">
      <c r="B49" s="36" t="inlineStr">
        <is>
          <t>// ---------------------------------------------------------------------</t>
        </is>
      </c>
    </row>
    <row r="50">
      <c r="B50" s="36" t="inlineStr">
        <is>
          <t>// Consulta 2 — nome: Resumo   (Carregar em: Tabela, planilha Dados, célula A1)</t>
        </is>
      </c>
    </row>
    <row r="51">
      <c r="B51" s="36" t="inlineStr">
        <is>
          <t>// ---------------------------------------------------------------------</t>
        </is>
      </c>
    </row>
    <row r="52">
      <c r="B52" s="36" t="inlineStr">
        <is>
          <t>let</t>
        </is>
      </c>
    </row>
    <row r="53">
      <c r="B53" s="36" t="inlineStr">
        <is>
          <t xml:space="preserve">    J = TSE,</t>
        </is>
      </c>
    </row>
    <row r="54">
      <c r="B54" s="36" t="inlineStr">
        <is>
          <t xml:space="preserve">    N = (x) =&gt; try Number.FromText(Text.From(x), "en-US") otherwise 0,</t>
        </is>
      </c>
    </row>
    <row r="55">
      <c r="B55" s="36" t="inlineStr">
        <is>
          <t xml:space="preserve">    T = (x) =&gt; if x = null then "" else Text.From(x),</t>
        </is>
      </c>
    </row>
    <row r="56">
      <c r="B56" s="36" t="inlineStr">
        <is>
          <t xml:space="preserve">    F = (r, k) =&gt; Record.FieldOrDefault(r, k, null),</t>
        </is>
      </c>
    </row>
    <row r="57">
      <c r="B57" s="36" t="inlineStr">
        <is>
          <t xml:space="preserve">    s = Record.FieldOrDefault(J, "s", []),</t>
        </is>
      </c>
    </row>
    <row r="58">
      <c r="B58" s="36" t="inlineStr">
        <is>
          <t xml:space="preserve">    e = Record.FieldOrDefault(J, "e", []),</t>
        </is>
      </c>
    </row>
    <row r="59">
      <c r="B59" s="36" t="inlineStr">
        <is>
          <t xml:space="preserve">    v = Record.FieldOrDefault(J, "v", []),</t>
        </is>
      </c>
    </row>
    <row r="60">
      <c r="B60" s="36" t="inlineStr">
        <is>
          <t xml:space="preserve">    Cargo = try J[carg]{0} otherwise [nmn = ""],</t>
        </is>
      </c>
    </row>
    <row r="61">
      <c r="B61" s="36" t="inlineStr">
        <is>
          <t xml:space="preserve">    Linhas = {</t>
        </is>
      </c>
    </row>
    <row r="62">
      <c r="B62" s="36" t="inlineStr">
        <is>
          <t xml:space="preserve">        {"ele", T(F(J, "ele"))}, {"t", T(F(J, "t"))}, {"tpabr", T(F(J, "tpabr"))},</t>
        </is>
      </c>
    </row>
    <row r="63">
      <c r="B63" s="36" t="inlineStr">
        <is>
          <t xml:space="preserve">        {"cdabr", T(F(J, "cdabr"))}, {"cargo", T(F(Cargo, "nmn"))},</t>
        </is>
      </c>
    </row>
    <row r="64">
      <c r="B64" s="36" t="inlineStr">
        <is>
          <t xml:space="preserve">        {"dt", T(F(J, "dt"))}, {"ht", T(F(J, "ht"))},</t>
        </is>
      </c>
    </row>
    <row r="65">
      <c r="B65" s="36" t="inlineStr">
        <is>
          <t xml:space="preserve">        {"and", T(F(J, "and"))}, {"md", T(F(J, "md"))}, {"tf", T(F(J, "tf"))}, {"dv", T(F(J, "dv"))},</t>
        </is>
      </c>
    </row>
    <row r="66">
      <c r="B66" s="36" t="inlineStr">
        <is>
          <t xml:space="preserve">        {"ts", N(F(s, "ts"))}, {"st", N(F(s, "st"))},</t>
        </is>
      </c>
    </row>
    <row r="67">
      <c r="B67" s="36" t="inlineStr">
        <is>
          <t xml:space="preserve">        {"te", N(F(e, "te"))}, {"est", N(F(e, "est"))}, {"esi", N(F(e, "esi"))},</t>
        </is>
      </c>
    </row>
    <row r="68">
      <c r="B68" s="36" t="inlineStr">
        <is>
          <t xml:space="preserve">        {"c", N(F(e, "c"))}, {"a", N(F(e, "a"))},</t>
        </is>
      </c>
    </row>
    <row r="69">
      <c r="B69" s="36" t="inlineStr">
        <is>
          <t xml:space="preserve">        {"tv", N(F(v, "tv"))}, {"vv", N(F(v, "vv"))}, {"vb", N(F(v, "vb"))},</t>
        </is>
      </c>
    </row>
    <row r="70">
      <c r="B70" s="36" t="inlineStr">
        <is>
          <t xml:space="preserve">        {"tvn", N(F(v, "tvn"))}, {"van", N(F(v, "van"))}, {"vansj", N(F(v, "vansj"))}</t>
        </is>
      </c>
    </row>
    <row r="71">
      <c r="B71" s="36" t="inlineStr">
        <is>
          <t xml:space="preserve">    },</t>
        </is>
      </c>
    </row>
    <row r="72">
      <c r="B72" s="36" t="inlineStr">
        <is>
          <t xml:space="preserve">    Tabela = #table(type table [Campo = text, Valor = any], Linhas)</t>
        </is>
      </c>
    </row>
    <row r="73">
      <c r="B73" s="36" t="inlineStr">
        <is>
          <t>in</t>
        </is>
      </c>
    </row>
    <row r="74">
      <c r="B74" s="36" t="inlineStr">
        <is>
          <t xml:space="preserve">    Tabela</t>
        </is>
      </c>
    </row>
    <row r="75">
      <c r="B75" s="36" t="inlineStr"/>
    </row>
    <row r="76">
      <c r="B76" s="36" t="inlineStr"/>
    </row>
    <row r="77">
      <c r="B77" s="36" t="inlineStr">
        <is>
          <t>// ---------------------------------------------------------------------</t>
        </is>
      </c>
    </row>
    <row r="78">
      <c r="B78" s="36" t="inlineStr">
        <is>
          <t>// Consulta 3 — nome: Candidatos   (Carregar em: Tabela, planilha Dados, célula E1)</t>
        </is>
      </c>
    </row>
    <row r="79">
      <c r="B79" s="36" t="inlineStr">
        <is>
          <t>// Ordenado pelo número de urna (ordem fixa; "seq" muda durante a apuração).</t>
        </is>
      </c>
    </row>
    <row r="80">
      <c r="B80" s="36" t="inlineStr">
        <is>
          <t>// ---------------------------------------------------------------------</t>
        </is>
      </c>
    </row>
    <row r="81">
      <c r="B81" s="36" t="inlineStr">
        <is>
          <t>let</t>
        </is>
      </c>
    </row>
    <row r="82">
      <c r="B82" s="36" t="inlineStr">
        <is>
          <t xml:space="preserve">    J = TSE,</t>
        </is>
      </c>
    </row>
    <row r="83">
      <c r="B83" s="36" t="inlineStr">
        <is>
          <t xml:space="preserve">    N = (x) =&gt; try Number.FromText(Text.From(x), "en-US") otherwise 0,</t>
        </is>
      </c>
    </row>
    <row r="84">
      <c r="B84" s="36" t="inlineStr">
        <is>
          <t xml:space="preserve">    F = (r, k, d) =&gt; Record.FieldOrDefault(r, k, d),</t>
        </is>
      </c>
    </row>
    <row r="85">
      <c r="B85" s="36" t="inlineStr">
        <is>
          <t xml:space="preserve">    Agr = try J[carg]{0}[agr] otherwise {},</t>
        </is>
      </c>
    </row>
    <row r="86">
      <c r="B86" s="36" t="inlineStr">
        <is>
          <t xml:space="preserve">    Lista = List.Combine(List.Transform(Agr, (a) =&gt;</t>
        </is>
      </c>
    </row>
    <row r="87">
      <c r="B87" s="36" t="inlineStr">
        <is>
          <t xml:space="preserve">              List.Combine(List.Transform(F(a, "par", {}), (p) =&gt;</t>
        </is>
      </c>
    </row>
    <row r="88">
      <c r="B88" s="36" t="inlineStr">
        <is>
          <t xml:space="preserve">                List.Transform(F(p, "cand", {}), (c) =&gt; {</t>
        </is>
      </c>
    </row>
    <row r="89">
      <c r="B89" s="36" t="inlineStr">
        <is>
          <t xml:space="preserve">                    N(F(c, "n", 0)),</t>
        </is>
      </c>
    </row>
    <row r="90">
      <c r="B90" s="36" t="inlineStr">
        <is>
          <t xml:space="preserve">                    F(c, "nmu", F(c, "nm", "")),</t>
        </is>
      </c>
    </row>
    <row r="91">
      <c r="B91" s="36" t="inlineStr">
        <is>
          <t xml:space="preserve">                    F(p, "sg", ""),</t>
        </is>
      </c>
    </row>
    <row r="92">
      <c r="B92" s="36" t="inlineStr">
        <is>
          <t xml:space="preserve">                    N(F(c, "vap", 0)),</t>
        </is>
      </c>
    </row>
    <row r="93">
      <c r="B93" s="36" t="inlineStr">
        <is>
          <t xml:space="preserve">                    F(c, "e", ""),</t>
        </is>
      </c>
    </row>
    <row r="94">
      <c r="B94" s="36" t="inlineStr">
        <is>
          <t xml:space="preserve">                    F(c, "st", ""),</t>
        </is>
      </c>
    </row>
    <row r="95">
      <c r="B95" s="36" t="inlineStr">
        <is>
          <t xml:space="preserve">                    N(F(c, "seq", 0))</t>
        </is>
      </c>
    </row>
    <row r="96">
      <c r="B96" s="36" t="inlineStr">
        <is>
          <t xml:space="preserve">                }))))),</t>
        </is>
      </c>
    </row>
    <row r="97">
      <c r="B97" s="36" t="inlineStr">
        <is>
          <t xml:space="preserve">    Tabela = #table(</t>
        </is>
      </c>
    </row>
    <row r="98">
      <c r="B98" s="36" t="inlineStr">
        <is>
          <t xml:space="preserve">        type table [Numero = number, Nome = text, Partido = text, Votos = number,</t>
        </is>
      </c>
    </row>
    <row r="99">
      <c r="B99" s="36" t="inlineStr">
        <is>
          <t xml:space="preserve">                    Eleito = text, Situacao = text, Seq = number],</t>
        </is>
      </c>
    </row>
    <row r="100">
      <c r="B100" s="36" t="inlineStr">
        <is>
          <t xml:space="preserve">        Lista),</t>
        </is>
      </c>
    </row>
    <row r="101">
      <c r="B101" s="36" t="inlineStr">
        <is>
          <t xml:space="preserve">    Ordenado = Table.Sort(Tabela, {{"Numero", Order.Ascending}})</t>
        </is>
      </c>
    </row>
    <row r="102">
      <c r="B102" s="36" t="inlineStr">
        <is>
          <t>in</t>
        </is>
      </c>
    </row>
    <row r="103">
      <c r="B103" s="36" t="inlineStr">
        <is>
          <t xml:space="preserve">    Ordenado</t>
        </is>
      </c>
    </row>
    <row r="104">
      <c r="B104" s="36" t="inlineStr"/>
    </row>
    <row r="105">
      <c r="B105" s="36" t="inlineStr"/>
    </row>
    <row r="106">
      <c r="B106" s="36" t="inlineStr">
        <is>
          <t>// ---------------------------------------------------------------------</t>
        </is>
      </c>
    </row>
    <row r="107">
      <c r="B107" s="36" t="inlineStr">
        <is>
          <t>// Consulta 4 — nome: tbHistorico   (Carregar em: Tabela, planilha Histórico, célula A1)</t>
        </is>
      </c>
    </row>
    <row r="108">
      <c r="B108" s="36" t="inlineStr">
        <is>
          <t>// Consulta "auto-referente": lê a própria tabela já carregada e acrescenta</t>
        </is>
      </c>
    </row>
    <row r="109">
      <c r="B109" s="36" t="inlineStr">
        <is>
          <t>// a totalização atual quando data/hora mudaram. Assim o histórico cresce a</t>
        </is>
      </c>
    </row>
    <row r="110">
      <c r="B110" s="36" t="inlineStr">
        <is>
          <t>// cada atualização e alimenta os gráficos de probabilidade.</t>
        </is>
      </c>
    </row>
    <row r="111">
      <c r="B111" s="36" t="inlineStr">
        <is>
          <t>// ---------------------------------------------------------------------</t>
        </is>
      </c>
    </row>
    <row r="112">
      <c r="B112" s="36" t="inlineStr">
        <is>
          <t>let</t>
        </is>
      </c>
    </row>
    <row r="113">
      <c r="B113" s="36" t="inlineStr">
        <is>
          <t xml:space="preserve">    R = Resumo,</t>
        </is>
      </c>
    </row>
    <row r="114">
      <c r="B114" s="36" t="inlineStr">
        <is>
          <t xml:space="preserve">    Val = (k) =&gt; try R{[Campo = k]}[Valor] otherwise 0,</t>
        </is>
      </c>
    </row>
    <row r="115">
      <c r="B115" s="36" t="inlineStr">
        <is>
          <t xml:space="preserve">    C = Candidatos,</t>
        </is>
      </c>
    </row>
    <row r="116">
      <c r="B116" s="36" t="inlineStr">
        <is>
          <t xml:space="preserve">    Vot = (i) =&gt; try C{i}[Votos] otherwise 0,</t>
        </is>
      </c>
    </row>
    <row r="117">
      <c r="B117" s="36" t="inlineStr">
        <is>
          <t xml:space="preserve">    Tipo = type table [Data = text, Hora = text, Secoes = number, SecoesTot = number,</t>
        </is>
      </c>
    </row>
    <row r="118">
      <c r="B118" s="36" t="inlineStr">
        <is>
          <t xml:space="preserve">                       Eleitorado = number, EleitTot = number, EleitInst = number,</t>
        </is>
      </c>
    </row>
    <row r="119">
      <c r="B119" s="36" t="inlineStr">
        <is>
          <t xml:space="preserve">                       Comparec = number, VotosTotais = number, VotosValidos = number,</t>
        </is>
      </c>
    </row>
    <row r="120">
      <c r="B120" s="36" t="inlineStr">
        <is>
          <t xml:space="preserve">                       VotosCand1 = number, VotosCand2 = number],</t>
        </is>
      </c>
    </row>
    <row r="121">
      <c r="B121" s="36" t="inlineStr">
        <is>
          <t xml:space="preserve">    Atual = #table(Tipo, {{</t>
        </is>
      </c>
    </row>
    <row r="122">
      <c r="B122" s="36" t="inlineStr">
        <is>
          <t xml:space="preserve">        Text.From(Val("dt")), Text.From(Val("ht")), Val("ts"), Val("st"),</t>
        </is>
      </c>
    </row>
    <row r="123">
      <c r="B123" s="36" t="inlineStr">
        <is>
          <t xml:space="preserve">        Val("te"), Val("est"), Val("esi"), Val("c"), Val("tv"), Val("vv"),</t>
        </is>
      </c>
    </row>
    <row r="124">
      <c r="B124" s="36" t="inlineStr">
        <is>
          <t xml:space="preserve">        Vot(0), Vot(1)}}),</t>
        </is>
      </c>
    </row>
    <row r="125">
      <c r="B125" s="36" t="inlineStr">
        <is>
          <t xml:space="preserve">    Anterior = try Table.TransformColumnTypes(</t>
        </is>
      </c>
    </row>
    <row r="126">
      <c r="B126" s="36" t="inlineStr">
        <is>
          <t xml:space="preserve">                    Table.SelectColumns(Excel.CurrentWorkbook(){[Name = "tbHistorico"]}[Content], Table.ColumnNames(Atual)),</t>
        </is>
      </c>
    </row>
    <row r="127">
      <c r="B127" s="36" t="inlineStr">
        <is>
          <t xml:space="preserve">                    {{"Data", type text}, {"Hora", type text}})</t>
        </is>
      </c>
    </row>
    <row r="128">
      <c r="B128" s="36" t="inlineStr">
        <is>
          <t xml:space="preserve">               otherwise #table(Tipo, {}),</t>
        </is>
      </c>
    </row>
    <row r="129">
      <c r="B129" s="36" t="inlineStr">
        <is>
          <t xml:space="preserve">    Juntos = Table.Combine({Anterior, Atual}),</t>
        </is>
      </c>
    </row>
    <row r="130">
      <c r="B130" s="36" t="inlineStr">
        <is>
          <t xml:space="preserve">    SemRepetir = Table.Distinct(Juntos, {"Data", "Hora"}),</t>
        </is>
      </c>
    </row>
    <row r="131">
      <c r="B131" s="36" t="inlineStr">
        <is>
          <t xml:space="preserve">    SemVazios = Table.SelectRows(SemRepetir, each [Data] &lt;&gt; "" and [Data] &lt;&gt; null)</t>
        </is>
      </c>
    </row>
    <row r="132">
      <c r="B132" s="36" t="inlineStr">
        <is>
          <t>in</t>
        </is>
      </c>
    </row>
    <row r="133">
      <c r="B133" s="36" t="inlineStr">
        <is>
          <t xml:space="preserve">    SemVazios</t>
        </is>
      </c>
    </row>
  </sheetData>
  <mergeCells count="6">
    <mergeCell ref="A25:B25"/>
    <mergeCell ref="A19:B19"/>
    <mergeCell ref="A14:B14"/>
    <mergeCell ref="A1:B1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2026-10-22T16:20:26Z</dcterms:created>
  <dcterms:modified xmlns:dcterms="http://purl.org/dc/terms/" xmlns:xsi="http://www.w3.org/2001/XMLSchema-instance" xsi:type="dcterms:W3CDTF">2026-10-22T16:20:26Z</dcterms:modified>
</cp:coreProperties>
</file>